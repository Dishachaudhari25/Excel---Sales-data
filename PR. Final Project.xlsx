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disha chaudhari\Downloads\"/>
    </mc:Choice>
  </mc:AlternateContent>
  <xr:revisionPtr revIDLastSave="0" documentId="13_ncr:1_{230AC34E-84C0-4D1E-8CC7-DBB0D6BABA28}" xr6:coauthVersionLast="47" xr6:coauthVersionMax="47" xr10:uidLastSave="{00000000-0000-0000-0000-000000000000}"/>
  <bookViews>
    <workbookView xWindow="-108" yWindow="-108" windowWidth="23256" windowHeight="12456" activeTab="1" xr2:uid="{00000000-000D-0000-FFFF-FFFF00000000}"/>
  </bookViews>
  <sheets>
    <sheet name="Project Instructions" sheetId="1" r:id="rId1"/>
    <sheet name="Dashboard" sheetId="13" r:id="rId2"/>
    <sheet name="Final Project Dataset" sheetId="2" r:id="rId3"/>
    <sheet name="Linear Regression" sheetId="6" r:id="rId4"/>
    <sheet name="analysis" sheetId="4" r:id="rId5"/>
    <sheet name="Scenario Summary" sheetId="12" r:id="rId6"/>
    <sheet name="Visaulization" sheetId="9" r:id="rId7"/>
  </sheets>
  <definedNames>
    <definedName name="NativeTimeline_Date">#N/A</definedName>
    <definedName name="Slicer_Region">#N/A</definedName>
  </definedNames>
  <calcPr calcId="191029"/>
  <pivotCaches>
    <pivotCache cacheId="18"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8" i="13" l="1"/>
  <c r="J8" i="13"/>
  <c r="G8" i="13"/>
  <c r="D8" i="13"/>
  <c r="X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3" i="2"/>
  <c r="V4" i="4"/>
  <c r="V5" i="4"/>
  <c r="V6" i="4"/>
  <c r="V7" i="4"/>
  <c r="V3" i="4"/>
  <c r="A2" i="4" a="1"/>
  <c r="A2" i="4" s="1"/>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3"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4" i="2"/>
  <c r="R3" i="2"/>
  <c r="P3" i="2"/>
  <c r="Q3" i="2"/>
  <c r="N8" i="13"/>
  <c r="K8" i="13"/>
  <c r="H8" i="1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<sst xmlns="http://schemas.openxmlformats.org/spreadsheetml/2006/main" count="2450" uniqueCount="487">
  <si>
    <t>PR. Final Project - "Data Intelligence Dashboard"</t>
  </si>
  <si>
    <r>
      <rPr>
        <b/>
        <sz val="11"/>
        <color theme="1"/>
        <rFont val="Calibri"/>
      </rPr>
      <t xml:space="preserve">Dataset: </t>
    </r>
    <r>
      <rPr>
        <sz val="11"/>
        <color theme="1"/>
        <rFont val="Calibri"/>
      </rPr>
      <t xml:space="preserve">Use the 'Final Project Dataset' sheet containing 200+ records of customer transactions.
</t>
    </r>
    <r>
      <rPr>
        <b/>
        <sz val="11"/>
        <color theme="1"/>
        <rFont val="Calibri"/>
      </rPr>
      <t xml:space="preserve">Objective: </t>
    </r>
    <r>
      <rPr>
        <sz val="11"/>
        <color theme="1"/>
        <rFont val="Calibri"/>
      </rPr>
      <t xml:space="preserve">
Create a full-fledged analysis and reporting solution using Excel to analyze customer transactions, find insights, 
and build visualizations and dashboards.
</t>
    </r>
    <r>
      <rPr>
        <b/>
        <sz val="11"/>
        <color rgb="FF367526"/>
        <rFont val="Calibri"/>
      </rPr>
      <t xml:space="preserve">Key Topics to Implement:
</t>
    </r>
    <r>
      <rPr>
        <sz val="11"/>
        <color rgb="FF38761D"/>
        <rFont val="Calibri"/>
      </rPr>
      <t>- Date &amp; Time Functions: TODAY, NOW, DATEDIF, EOMONTH
- FILTER Function for multi-value returns
- Conditional Formatting with Icons/Arrows
- Create Timestamp (using NOW and iterative calculations)
- WHAT-IF Analysis: Scenario Manager, Goal Seek
- Linear Regression using Data Analysis Toolpak
- Data Analysis &amp; Storytelling from the dataset
- Use GroupBy concepts to find High-Value Customers using formulas
- Create Dashboard using:
    - Pivot Tables
    - Pivot Charts (Bar, Line, Pie)
    - Slicers and Timelines
    - KPI Indicators with Conditional Formatting
- Find most frequently purchased product or repeating names using formulas
- Compare two lists and extract matching names in a new column
- Create Abbreviations using TEXT functions
- Build a final report with insights and storytelling</t>
    </r>
    <r>
      <rPr>
        <sz val="11"/>
        <color theme="1"/>
        <rFont val="Calibri"/>
      </rPr>
      <t xml:space="preserve">
</t>
    </r>
    <r>
      <rPr>
        <b/>
        <sz val="11"/>
        <color theme="1"/>
        <rFont val="Calibri"/>
      </rPr>
      <t xml:space="preserve">Deliverable:
</t>
    </r>
    <r>
      <rPr>
        <sz val="11"/>
        <color theme="1"/>
        <rFont val="Calibri"/>
      </rPr>
      <t>- Well-structured workbook with multiple sheets (Raw Data, Analysis, Visualizations, Dashboard)
- Summary Insights with key metrics: Total Revenue, Top Customers, Most Sold Products, Regional Sales
- Use of all required formulas and functions as listed above</t>
    </r>
  </si>
  <si>
    <t>Transaction_ID</t>
  </si>
  <si>
    <t>Date</t>
  </si>
  <si>
    <t>Customer_ID</t>
  </si>
  <si>
    <t>Customer_Name</t>
  </si>
  <si>
    <t>Product_ID</t>
  </si>
  <si>
    <t>Product_Name</t>
  </si>
  <si>
    <t>Category</t>
  </si>
  <si>
    <t>Quantity</t>
  </si>
  <si>
    <t>Unit_Price</t>
  </si>
  <si>
    <t>Payment_Method</t>
  </si>
  <si>
    <t>Region</t>
  </si>
  <si>
    <t>Customer_Segment</t>
  </si>
  <si>
    <t>Customer_Since</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</si>
  <si>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</si>
  <si>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</si>
  <si>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</si>
  <si>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</si>
  <si>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</si>
  <si>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</si>
  <si>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</si>
  <si>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</si>
  <si>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</si>
  <si>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</si>
  <si>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</si>
  <si>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</si>
  <si>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</si>
  <si>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</si>
  <si>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</si>
  <si>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</si>
  <si>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</si>
  <si>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</si>
  <si>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</si>
  <si>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</si>
  <si>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</si>
  <si>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</si>
  <si>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</si>
  <si>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</si>
  <si>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</si>
  <si>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</si>
  <si>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</si>
  <si>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</si>
  <si>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</si>
  <si>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</si>
  <si>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</si>
  <si>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</si>
  <si>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</si>
  <si>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</si>
  <si>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</si>
  <si>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</si>
  <si>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</si>
  <si>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</si>
  <si>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</si>
  <si>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</si>
  <si>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</si>
  <si>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</si>
  <si>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</si>
  <si>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</si>
  <si>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</si>
  <si>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</si>
  <si>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</si>
  <si>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</si>
  <si>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</si>
  <si>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</si>
  <si>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</si>
  <si>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</si>
  <si>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</si>
  <si>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</si>
  <si>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</si>
  <si>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</si>
  <si>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</si>
  <si>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</si>
  <si>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</si>
  <si>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</si>
  <si>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</si>
  <si>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</si>
  <si>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</si>
  <si>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</si>
  <si>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</si>
  <si>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</si>
  <si>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</si>
  <si>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</si>
  <si>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</si>
  <si>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</si>
  <si>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</si>
  <si>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</si>
  <si>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</si>
  <si>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</si>
  <si>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</si>
  <si>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</si>
  <si>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</si>
  <si>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</si>
  <si>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</si>
  <si>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</si>
  <si>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</si>
  <si>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</si>
  <si>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</si>
  <si>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</si>
  <si>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</si>
  <si>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</si>
  <si>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</si>
  <si>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</si>
  <si>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</si>
  <si>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</si>
  <si>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</si>
  <si>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</si>
  <si>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</si>
  <si>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</si>
  <si>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</si>
  <si>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</si>
  <si>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</si>
  <si>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</si>
  <si>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</si>
  <si>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</si>
  <si>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</si>
  <si>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</si>
  <si>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</si>
  <si>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</si>
  <si>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</si>
  <si>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</si>
  <si>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</si>
  <si>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</si>
  <si>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</si>
  <si>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</si>
  <si>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</si>
  <si>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</si>
  <si>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</si>
  <si>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</si>
  <si>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</si>
  <si>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</si>
  <si>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</si>
  <si>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</si>
  <si>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</si>
  <si>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</si>
  <si>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</si>
  <si>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</si>
  <si>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</si>
  <si>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</si>
  <si>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</si>
  <si>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</si>
  <si>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</si>
  <si>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</si>
  <si>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</si>
  <si>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</si>
  <si>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</si>
  <si>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</si>
  <si>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</si>
  <si>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</si>
  <si>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</si>
  <si>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</si>
  <si>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</si>
  <si>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</si>
  <si>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</si>
  <si>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</si>
  <si>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</si>
  <si>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</si>
  <si>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</si>
  <si>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</si>
  <si>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</si>
  <si>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</si>
  <si>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</si>
  <si>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</si>
  <si>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</si>
  <si>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</si>
  <si>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</si>
  <si>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</si>
  <si>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</si>
  <si>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</si>
  <si>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</si>
  <si>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</si>
  <si>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</si>
  <si>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</si>
  <si>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</si>
  <si>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</si>
  <si>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</si>
  <si>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</si>
  <si>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</si>
  <si>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</si>
  <si>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</si>
  <si>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</si>
  <si>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</si>
  <si>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</si>
  <si>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</si>
  <si>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</si>
  <si>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</si>
  <si>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</si>
  <si>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</si>
  <si>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</si>
  <si>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</si>
  <si>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</si>
  <si>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</si>
  <si>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</si>
  <si>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</si>
  <si>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</si>
  <si>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</si>
  <si>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</si>
  <si>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</si>
  <si>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</si>
  <si>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</si>
  <si>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</si>
  <si>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</si>
  <si>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</si>
  <si>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</si>
  <si>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</si>
  <si>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</si>
  <si>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</si>
  <si>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</si>
  <si>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</si>
  <si>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</si>
  <si>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</si>
  <si>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</si>
  <si>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</si>
  <si>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</si>
  <si>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</si>
  <si>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</si>
  <si>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</si>
  <si>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</si>
  <si>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</si>
  <si>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</si>
  <si>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</si>
  <si>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</si>
  <si>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</si>
  <si>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</si>
  <si>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</si>
  <si>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</si>
  <si>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</si>
  <si>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</si>
  <si>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</si>
  <si>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</si>
  <si>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</si>
  <si>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</si>
  <si>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</si>
  <si>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</si>
  <si>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</si>
  <si>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</si>
  <si>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</si>
  <si>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</si>
  <si>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</si>
  <si>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</si>
  <si>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</si>
  <si>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</si>
  <si>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</si>
  <si>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</si>
  <si>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</si>
  <si>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</si>
  <si>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</si>
  <si>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</si>
  <si>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</si>
  <si>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</si>
  <si>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</si>
  <si>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</si>
  <si>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</si>
  <si>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</si>
  <si>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</si>
  <si>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</si>
  <si>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</si>
  <si>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</si>
  <si>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</si>
  <si>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</si>
  <si>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</si>
  <si>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</si>
  <si>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</si>
  <si>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</si>
  <si>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</si>
  <si>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</si>
  <si>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</si>
  <si>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</si>
  <si>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</si>
  <si>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</si>
  <si>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</si>
  <si>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</si>
  <si>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</si>
  <si>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</si>
  <si>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</si>
  <si>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</si>
  <si>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</si>
  <si>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</si>
  <si>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</si>
  <si>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</si>
  <si>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</si>
  <si>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</si>
  <si>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</si>
  <si>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</si>
  <si>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</si>
  <si>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</si>
  <si>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</si>
  <si>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</si>
  <si>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</si>
  <si>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</si>
  <si>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</si>
  <si>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</si>
  <si>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</si>
  <si>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</si>
  <si>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</si>
  <si>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</si>
  <si>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</si>
  <si>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</si>
  <si>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</si>
  <si>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</si>
  <si>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</si>
  <si>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</si>
  <si>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</si>
  <si>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</si>
  <si>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</si>
  <si>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</si>
  <si>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</si>
  <si>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</si>
  <si>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</si>
  <si>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</si>
  <si>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</si>
  <si>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</si>
  <si>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</si>
  <si>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</si>
  <si>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</si>
  <si>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</si>
  <si>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</si>
  <si>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</si>
  <si>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</si>
  <si>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</si>
  <si>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</si>
  <si>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</si>
  <si>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</si>
  <si>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</si>
  <si>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</si>
  <si>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</si>
  <si>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</si>
  <si>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</si>
  <si>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</si>
  <si>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</si>
  <si>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</si>
  <si>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</si>
  <si>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</si>
  <si>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</si>
  <si>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</si>
  <si>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</si>
  <si>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</si>
  <si>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</si>
  <si>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</si>
  <si>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</si>
  <si>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</si>
  <si>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</si>
  <si>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</si>
  <si>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</si>
  <si>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</si>
  <si>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</si>
  <si>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</si>
  <si>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</si>
  <si>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</si>
  <si>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</si>
  <si>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</si>
  <si>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</si>
  <si>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</si>
  <si>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</si>
  <si>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</si>
  <si>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</si>
  <si>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</si>
  <si>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</si>
  <si>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</si>
  <si>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</si>
  <si>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</si>
  <si>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</si>
  <si>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</si>
  <si>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</si>
  <si>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</si>
  <si>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</si>
  <si>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</si>
  <si>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</si>
  <si>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</si>
  <si>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</si>
  <si>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</si>
  <si>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</si>
  <si>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</si>
  <si>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</si>
  <si>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</si>
  <si>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</si>
  <si>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</si>
  <si>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</si>
  <si>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</si>
  <si>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</si>
  <si>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</si>
  <si>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</si>
  <si>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</si>
  <si>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</si>
  <si>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</si>
  <si>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</si>
  <si>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</si>
  <si>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</si>
  <si>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</si>
  <si>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</si>
  <si>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</si>
  <si>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</si>
  <si>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</si>
  <si>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</si>
  <si>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</si>
  <si>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</si>
  <si>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</si>
  <si>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</si>
  <si>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</si>
  <si>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</si>
  <si>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Today</t>
  </si>
  <si>
    <t>Now</t>
  </si>
  <si>
    <t>EOMONTH</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</si>
  <si>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</si>
  <si>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</si>
  <si>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</si>
  <si>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</si>
  <si>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</si>
  <si>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</si>
  <si>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</si>
  <si>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</si>
  <si>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</si>
  <si>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</si>
  <si>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</si>
  <si>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</si>
  <si>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</si>
  <si>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</si>
  <si>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</si>
  <si>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</si>
  <si>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</si>
  <si>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</si>
  <si>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</si>
  <si>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</si>
  <si>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</si>
  <si>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</si>
  <si>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</si>
  <si>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</si>
  <si>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Grand Total</t>
  </si>
  <si>
    <t>Sum of Total_Amount</t>
  </si>
  <si>
    <t>FILTER</t>
  </si>
  <si>
    <t>Customer Name</t>
  </si>
  <si>
    <t>GROUP BY</t>
  </si>
  <si>
    <t>Datediff</t>
  </si>
  <si>
    <t>Conditional formatting</t>
  </si>
  <si>
    <t>Total_sales</t>
  </si>
  <si>
    <t>Row Labels</t>
  </si>
  <si>
    <t>Count of Quantity</t>
  </si>
  <si>
    <t>List A</t>
  </si>
  <si>
    <t>List B</t>
  </si>
  <si>
    <t>John</t>
  </si>
  <si>
    <t>Alice</t>
  </si>
  <si>
    <t>Emma</t>
  </si>
  <si>
    <t>David</t>
  </si>
  <si>
    <t>Mark</t>
  </si>
  <si>
    <t>Sam</t>
  </si>
  <si>
    <t>Christ</t>
  </si>
  <si>
    <t>Extraction</t>
  </si>
  <si>
    <t>Matching Names</t>
  </si>
  <si>
    <t>Frequently purchased product</t>
  </si>
  <si>
    <t>Two list and Extract Matching</t>
  </si>
  <si>
    <t>Abbreviations</t>
  </si>
  <si>
    <t>2024</t>
  </si>
  <si>
    <t>2025</t>
  </si>
  <si>
    <t>Apr</t>
  </si>
  <si>
    <t>May</t>
  </si>
  <si>
    <t>Jun</t>
  </si>
  <si>
    <t>Jul</t>
  </si>
  <si>
    <t>Aug</t>
  </si>
  <si>
    <t>Sep</t>
  </si>
  <si>
    <t>Oct</t>
  </si>
  <si>
    <t>Nov</t>
  </si>
  <si>
    <t>Dec</t>
  </si>
  <si>
    <t>Jan</t>
  </si>
  <si>
    <t>Feb</t>
  </si>
  <si>
    <t>Mar</t>
  </si>
  <si>
    <t>quantity</t>
  </si>
  <si>
    <t>price</t>
  </si>
  <si>
    <t>total amount</t>
  </si>
  <si>
    <t>$V$8</t>
  </si>
  <si>
    <t>$W$8</t>
  </si>
  <si>
    <t>$X$8</t>
  </si>
  <si>
    <t>best sales</t>
  </si>
  <si>
    <t>Created by disha chaudhari on 30-05-2026</t>
  </si>
  <si>
    <t>Average</t>
  </si>
  <si>
    <t>worst sales</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</si>
  <si>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</si>
  <si>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</si>
  <si>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</si>
  <si>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</si>
  <si>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</si>
  <si>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</si>
  <si>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</si>
  <si>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scenario summary</t>
  </si>
  <si>
    <t>Total Revenue</t>
  </si>
  <si>
    <t>Best Region</t>
  </si>
  <si>
    <t>Most sold Product</t>
  </si>
  <si>
    <t>Top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</si>
</sst>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14009]yyyy/mm/dd;@"/>
  </numFmts>
  <fonts count="19"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ont>
    <font>
      <sz val="11"/>
      <color theme="1"/>
      <name val="Calibri"/>
      <scheme val="minor"/>
    </font>
    <font>
      <sz val="11"/>
      <color theme="1"/>
      <name val="Calibri"/>
    </font>
    <font>
      <b/>
      <sz val="11"/>
      <color theme="1"/>
      <name val="Calibri"/>
      <scheme val="minor"/>
    </font>
    <font>
      <b/>
      <sz val="11"/>
      <color rgb="FF367526"/>
      <name val="Calibri"/>
    </font>
    <font>
      <sz val="11"/>
      <color rgb="FF38761D"/>
      <name val="Calibri"/>
    </font>
    <font>
      <b/>
      <sz val="11"/>
      <color theme="1"/>
      <name val="Calibri"/>
      <family val="2"/>
      <scheme val="minor"/>
    </font>
    <font>
      <i/>
      <sz val="11"/>
      <color theme="1"/>
      <name val="Calibri"/>
      <family val="2"/>
      <scheme val="minor"/>
    </font>
    <font>
      <sz val="11"/>
      <color theme="1"/>
      <name val="Calibri"/>
      <family val="2"/>
    </font>
    <font>
      <b/>
      <sz val="12"/>
      <color theme="1"/>
      <name val="Calibri"/>
      <family val="2"/>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s>
  <fills count="10">
    <fill>
      <patternFill patternType="none"/>
    </fill>
    <fill>
      <patternFill patternType="gray125"/>
    </fill>
    <fill>
      <patternFill patternType="solid">
        <fgColor rgb="FFFFF2CC"/>
        <bgColor rgb="FFFFF2CC"/>
      </patternFill>
    </fill>
    <fill>
      <patternFill patternType="solid">
        <fgColor theme="7" tint="0.59999389629810485"/>
        <bgColor indexed="64"/>
      </patternFill>
    </fill>
    <fill>
      <patternFill patternType="solid">
        <fgColor theme="8" tint="0.79998168889431442"/>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4" tint="0.79998168889431442"/>
        <bgColor indexed="64"/>
      </patternFill>
    </fill>
    <fill>
      <patternFill patternType="solid">
        <fgColor theme="6" tint="0.59999389629810485"/>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3" fillId="0" borderId="0"/>
    <xf numFmtId="0" fontId="2" fillId="0" borderId="0"/>
  </cellStyleXfs>
  <cellXfs count="60">
    <xf numFmtId="0" fontId="0" fillId="0" borderId="0" xfId="0"/>
    <xf numFmtId="0" fontId="4" fillId="2" borderId="1" xfId="0" applyFont="1" applyFill="1" applyBorder="1" applyAlignment="1">
      <alignment horizontal="center"/>
    </xf>
    <xf numFmtId="0" fontId="5" fillId="0" borderId="0" xfId="0" applyFont="1" applyAlignment="1">
      <alignment horizontal="center" vertical="center"/>
    </xf>
    <xf numFmtId="0" fontId="6" fillId="0" borderId="1" xfId="0" applyFont="1" applyBorder="1"/>
    <xf numFmtId="0" fontId="7" fillId="0" borderId="0" xfId="0" applyFont="1" applyAlignment="1">
      <alignment horizontal="center"/>
    </xf>
    <xf numFmtId="0" fontId="0" fillId="0" borderId="2" xfId="0" applyBorder="1"/>
    <xf numFmtId="0" fontId="11" fillId="0" borderId="3" xfId="0" applyFont="1" applyBorder="1" applyAlignment="1">
      <alignment horizontal="center"/>
    </xf>
    <xf numFmtId="0" fontId="11" fillId="0" borderId="3" xfId="0" applyFont="1" applyBorder="1" applyAlignment="1">
      <alignment horizontal="centerContinuous"/>
    </xf>
    <xf numFmtId="0" fontId="0" fillId="0" borderId="0" xfId="0" pivotButton="1"/>
    <xf numFmtId="0" fontId="0" fillId="0" borderId="0" xfId="0" applyAlignment="1">
      <alignment horizontal="left"/>
    </xf>
    <xf numFmtId="0" fontId="0" fillId="0" borderId="0" xfId="0" applyAlignment="1">
      <alignment horizontal="center"/>
    </xf>
    <xf numFmtId="0" fontId="10" fillId="3" borderId="0" xfId="0" applyFont="1" applyFill="1" applyAlignment="1">
      <alignment horizontal="center"/>
    </xf>
    <xf numFmtId="0" fontId="10" fillId="0" borderId="0" xfId="0" applyFont="1" applyAlignment="1">
      <alignment horizontal="center"/>
    </xf>
    <xf numFmtId="0" fontId="5" fillId="0" borderId="0" xfId="0" applyFont="1" applyAlignment="1">
      <alignment horizontal="center"/>
    </xf>
    <xf numFmtId="164" fontId="5" fillId="0" borderId="0" xfId="0" applyNumberFormat="1" applyFont="1" applyAlignment="1">
      <alignment horizontal="center"/>
    </xf>
    <xf numFmtId="0" fontId="3" fillId="0" borderId="0" xfId="0" applyFont="1" applyAlignment="1">
      <alignment horizontal="center"/>
    </xf>
    <xf numFmtId="0" fontId="12" fillId="0" borderId="4" xfId="1" applyFont="1" applyBorder="1" applyAlignment="1">
      <alignment horizontal="center" wrapText="1"/>
    </xf>
    <xf numFmtId="0" fontId="0" fillId="0" borderId="4" xfId="0" applyBorder="1" applyAlignment="1">
      <alignment horizontal="center"/>
    </xf>
    <xf numFmtId="0" fontId="13" fillId="4" borderId="4" xfId="1" applyFont="1" applyFill="1" applyBorder="1" applyAlignment="1">
      <alignment horizontal="center" wrapText="1"/>
    </xf>
    <xf numFmtId="0" fontId="10" fillId="4" borderId="4" xfId="0" applyFont="1" applyFill="1" applyBorder="1" applyAlignment="1">
      <alignment horizontal="center"/>
    </xf>
    <xf numFmtId="0" fontId="10" fillId="4" borderId="0" xfId="0" applyFont="1" applyFill="1"/>
    <xf numFmtId="0" fontId="10" fillId="4" borderId="0" xfId="0" applyFont="1" applyFill="1" applyAlignment="1">
      <alignment horizontal="center" vertical="center"/>
    </xf>
    <xf numFmtId="0" fontId="10" fillId="0" borderId="0" xfId="2" applyFont="1" applyAlignment="1">
      <alignment horizontal="center" vertical="center"/>
    </xf>
    <xf numFmtId="2" fontId="10" fillId="0" borderId="0" xfId="2" applyNumberFormat="1" applyFont="1" applyAlignment="1">
      <alignment horizontal="center" vertical="center"/>
    </xf>
    <xf numFmtId="0" fontId="0" fillId="0" borderId="0" xfId="0" applyAlignment="1">
      <alignment horizontal="left" indent="1"/>
    </xf>
    <xf numFmtId="0" fontId="14" fillId="5" borderId="5" xfId="0" applyFont="1" applyFill="1" applyBorder="1" applyAlignment="1">
      <alignment horizontal="left"/>
    </xf>
    <xf numFmtId="0" fontId="14" fillId="5" borderId="7" xfId="0" applyFont="1" applyFill="1" applyBorder="1" applyAlignment="1">
      <alignment horizontal="left"/>
    </xf>
    <xf numFmtId="0" fontId="0" fillId="0" borderId="6" xfId="0" applyBorder="1"/>
    <xf numFmtId="0" fontId="15" fillId="6" borderId="0" xfId="0" applyFont="1" applyFill="1" applyAlignment="1">
      <alignment horizontal="left"/>
    </xf>
    <xf numFmtId="0" fontId="16" fillId="6" borderId="6" xfId="0" applyFont="1" applyFill="1" applyBorder="1" applyAlignment="1">
      <alignment horizontal="left"/>
    </xf>
    <xf numFmtId="0" fontId="15" fillId="6" borderId="2" xfId="0" applyFont="1" applyFill="1" applyBorder="1" applyAlignment="1">
      <alignment horizontal="left"/>
    </xf>
    <xf numFmtId="0" fontId="17" fillId="5" borderId="7" xfId="0" applyFont="1" applyFill="1" applyBorder="1" applyAlignment="1">
      <alignment horizontal="right"/>
    </xf>
    <xf numFmtId="0" fontId="17" fillId="5" borderId="5" xfId="0" applyFont="1" applyFill="1" applyBorder="1" applyAlignment="1">
      <alignment horizontal="right"/>
    </xf>
    <xf numFmtId="0" fontId="0" fillId="7" borderId="0" xfId="0" applyFill="1"/>
    <xf numFmtId="0" fontId="18" fillId="0" borderId="0" xfId="0" applyFont="1" applyAlignment="1">
      <alignment vertical="top" wrapText="1"/>
    </xf>
    <xf numFmtId="0" fontId="10" fillId="3" borderId="0" xfId="0" applyFont="1" applyFill="1" applyAlignment="1">
      <alignment horizontal="center"/>
    </xf>
    <xf numFmtId="0" fontId="10" fillId="3" borderId="5" xfId="0" applyFont="1" applyFill="1" applyBorder="1" applyAlignment="1">
      <alignment horizontal="center"/>
    </xf>
    <xf numFmtId="0" fontId="7" fillId="3" borderId="4" xfId="0" applyFont="1" applyFill="1" applyBorder="1" applyAlignment="1">
      <alignment horizontal="center" vertical="top"/>
    </xf>
    <xf numFmtId="14" fontId="0" fillId="0" borderId="4" xfId="0" applyNumberFormat="1" applyBorder="1" applyAlignment="1">
      <alignment horizontal="center" vertical="top"/>
    </xf>
    <xf numFmtId="0" fontId="7" fillId="3" borderId="8" xfId="0" applyFont="1" applyFill="1" applyBorder="1" applyAlignment="1">
      <alignment horizontal="center" vertical="top"/>
    </xf>
    <xf numFmtId="22" fontId="0" fillId="0" borderId="8" xfId="0" applyNumberFormat="1" applyBorder="1" applyAlignment="1">
      <alignment horizontal="center" vertical="top"/>
    </xf>
    <xf numFmtId="0" fontId="10" fillId="3" borderId="4" xfId="0" applyFont="1" applyFill="1" applyBorder="1" applyAlignment="1">
      <alignment horizontal="center"/>
    </xf>
    <xf numFmtId="0" fontId="7" fillId="3" borderId="4" xfId="0" applyFont="1" applyFill="1" applyBorder="1" applyAlignment="1">
      <alignment horizontal="center"/>
    </xf>
    <xf numFmtId="165" fontId="0" fillId="0" borderId="4" xfId="0" applyNumberFormat="1" applyBorder="1" applyAlignment="1">
      <alignment horizontal="center"/>
    </xf>
    <xf numFmtId="0" fontId="3" fillId="0" borderId="4" xfId="0" applyFont="1" applyBorder="1"/>
    <xf numFmtId="0" fontId="10" fillId="8" borderId="4" xfId="0" applyFont="1" applyFill="1" applyBorder="1" applyAlignment="1">
      <alignment horizontal="center"/>
    </xf>
    <xf numFmtId="0" fontId="10" fillId="3" borderId="4" xfId="0" applyFont="1" applyFill="1" applyBorder="1" applyAlignment="1">
      <alignment horizontal="center"/>
    </xf>
    <xf numFmtId="0" fontId="0" fillId="0" borderId="4" xfId="0" applyBorder="1"/>
    <xf numFmtId="0" fontId="0" fillId="0" borderId="4" xfId="0" pivotButton="1" applyBorder="1"/>
    <xf numFmtId="0" fontId="0" fillId="0" borderId="4" xfId="0" applyBorder="1" applyAlignment="1">
      <alignment horizontal="left"/>
    </xf>
    <xf numFmtId="0" fontId="13" fillId="4" borderId="9" xfId="1" applyFont="1" applyFill="1" applyBorder="1" applyAlignment="1">
      <alignment horizontal="center" wrapText="1"/>
    </xf>
    <xf numFmtId="0" fontId="12" fillId="0" borderId="9" xfId="1" applyFont="1" applyBorder="1" applyAlignment="1">
      <alignment horizontal="center" wrapText="1"/>
    </xf>
    <xf numFmtId="0" fontId="10" fillId="3" borderId="4" xfId="0" applyFont="1" applyFill="1" applyBorder="1" applyAlignment="1">
      <alignment horizontal="center" vertical="center"/>
    </xf>
    <xf numFmtId="0" fontId="0" fillId="9" borderId="0" xfId="0" applyFill="1"/>
    <xf numFmtId="0" fontId="0" fillId="0" borderId="0" xfId="0" applyNumberFormat="1"/>
    <xf numFmtId="0" fontId="1" fillId="9" borderId="0" xfId="0" applyFont="1" applyFill="1"/>
    <xf numFmtId="0" fontId="0" fillId="0" borderId="4" xfId="0" applyNumberFormat="1" applyBorder="1"/>
    <xf numFmtId="0" fontId="0" fillId="9" borderId="4" xfId="0" applyFill="1" applyBorder="1"/>
    <xf numFmtId="0" fontId="10" fillId="9" borderId="4" xfId="0" applyFont="1" applyFill="1" applyBorder="1"/>
    <xf numFmtId="0" fontId="10" fillId="9" borderId="4" xfId="0" applyFont="1" applyFill="1" applyBorder="1" applyAlignment="1">
      <alignment horizontal="center"/>
    </xf>
  </cellXfs>
  <cellStyles count="3">
    <cellStyle name="Normal" xfId="0" builtinId="0"/>
    <cellStyle name="Normal 2" xfId="1" xr:uid="{AB2E1032-687D-435C-BA04-E102A49B30FC}"/>
    <cellStyle name="Normal 3" xfId="2" xr:uid="{33B3FAF0-0317-4ABB-A913-28194106320D}"/>
  </cellStyles>
  <dxfs count="34">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4" formatCode="yyyy\-mm\-dd"/>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4" formatCode="yyyy\-mm\-dd"/>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Project.xlsx]Visaulization!PivotTable2</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Regional</a:t>
            </a:r>
            <a:r>
              <a:rPr lang="en-IN" b="1" baseline="0"/>
              <a:t> Sales</a:t>
            </a:r>
            <a:endParaRPr lang="en-IN" b="1"/>
          </a:p>
        </c:rich>
      </c:tx>
      <c:layout>
        <c:manualLayout>
          <c:xMode val="edge"/>
          <c:yMode val="edge"/>
          <c:x val="0.43851091963501698"/>
          <c:y val="5.865000905226572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60000"/>
              <a:lumOff val="40000"/>
            </a:schemeClr>
          </a:solidFill>
          <a:ln>
            <a:solidFill>
              <a:schemeClr val="tx1"/>
            </a:solidFill>
          </a:ln>
          <a:effectLst/>
        </c:spPr>
      </c:pivotFmt>
      <c:pivotFmt>
        <c:idx val="2"/>
        <c:spPr>
          <a:solidFill>
            <a:schemeClr val="accent3">
              <a:lumMod val="60000"/>
              <a:lumOff val="40000"/>
            </a:schemeClr>
          </a:solidFill>
          <a:ln>
            <a:solidFill>
              <a:schemeClr val="tx2"/>
            </a:solidFill>
          </a:ln>
          <a:effectLst/>
        </c:spPr>
      </c:pivotFmt>
      <c:pivotFmt>
        <c:idx val="3"/>
        <c:spPr>
          <a:solidFill>
            <a:schemeClr val="accent3">
              <a:lumMod val="60000"/>
              <a:lumOff val="40000"/>
            </a:schemeClr>
          </a:solidFill>
          <a:ln>
            <a:solidFill>
              <a:schemeClr val="tx1"/>
            </a:solidFill>
          </a:ln>
          <a:effectLst/>
        </c:spPr>
      </c:pivotFmt>
      <c:pivotFmt>
        <c:idx val="4"/>
        <c:spPr>
          <a:solidFill>
            <a:schemeClr val="accent3">
              <a:lumMod val="60000"/>
              <a:lumOff val="40000"/>
            </a:schemeClr>
          </a:solidFill>
          <a:ln>
            <a:solidFill>
              <a:schemeClr val="tx1"/>
            </a:solidFill>
          </a:ln>
          <a:effectLst/>
        </c:spPr>
      </c:pivotFmt>
      <c:pivotFmt>
        <c:idx val="5"/>
        <c:spPr>
          <a:solidFill>
            <a:schemeClr val="accent3">
              <a:lumMod val="60000"/>
              <a:lumOff val="40000"/>
            </a:schemeClr>
          </a:solidFill>
          <a:ln>
            <a:solidFill>
              <a:schemeClr val="tx1">
                <a:lumMod val="85000"/>
                <a:lumOff val="15000"/>
              </a:schemeClr>
            </a:solidFill>
          </a:ln>
          <a:effectLst/>
        </c:spPr>
      </c:pivotFmt>
      <c:pivotFmt>
        <c:idx val="6"/>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lumMod val="60000"/>
              <a:lumOff val="40000"/>
            </a:schemeClr>
          </a:solidFill>
          <a:ln>
            <a:solidFill>
              <a:schemeClr val="tx1">
                <a:lumMod val="85000"/>
                <a:lumOff val="15000"/>
              </a:schemeClr>
            </a:solidFill>
          </a:ln>
          <a:effectLst/>
        </c:spPr>
      </c:pivotFmt>
      <c:pivotFmt>
        <c:idx val="8"/>
        <c:spPr>
          <a:solidFill>
            <a:schemeClr val="accent3">
              <a:lumMod val="60000"/>
              <a:lumOff val="40000"/>
            </a:schemeClr>
          </a:solidFill>
          <a:ln>
            <a:solidFill>
              <a:schemeClr val="tx1"/>
            </a:solidFill>
          </a:ln>
          <a:effectLst/>
        </c:spPr>
      </c:pivotFmt>
      <c:pivotFmt>
        <c:idx val="9"/>
        <c:spPr>
          <a:solidFill>
            <a:schemeClr val="accent3">
              <a:lumMod val="60000"/>
              <a:lumOff val="40000"/>
            </a:schemeClr>
          </a:solidFill>
          <a:ln>
            <a:solidFill>
              <a:schemeClr val="tx1"/>
            </a:solidFill>
          </a:ln>
          <a:effectLst/>
        </c:spPr>
      </c:pivotFmt>
      <c:pivotFmt>
        <c:idx val="10"/>
        <c:spPr>
          <a:solidFill>
            <a:schemeClr val="accent3">
              <a:lumMod val="60000"/>
              <a:lumOff val="40000"/>
            </a:schemeClr>
          </a:solidFill>
          <a:ln>
            <a:solidFill>
              <a:schemeClr val="tx1"/>
            </a:solidFill>
          </a:ln>
          <a:effectLst/>
        </c:spPr>
      </c:pivotFmt>
      <c:pivotFmt>
        <c:idx val="11"/>
        <c:spPr>
          <a:solidFill>
            <a:schemeClr val="accent3">
              <a:lumMod val="60000"/>
              <a:lumOff val="40000"/>
            </a:schemeClr>
          </a:solidFill>
          <a:ln>
            <a:solidFill>
              <a:schemeClr val="tx2"/>
            </a:solidFill>
          </a:ln>
          <a:effectLst/>
        </c:spPr>
      </c:pivotFmt>
      <c:pivotFmt>
        <c:idx val="12"/>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3">
              <a:lumMod val="60000"/>
              <a:lumOff val="40000"/>
            </a:schemeClr>
          </a:solidFill>
          <a:ln>
            <a:solidFill>
              <a:schemeClr val="tx1">
                <a:lumMod val="85000"/>
                <a:lumOff val="15000"/>
              </a:schemeClr>
            </a:solidFill>
          </a:ln>
          <a:effectLst/>
        </c:spPr>
      </c:pivotFmt>
      <c:pivotFmt>
        <c:idx val="14"/>
        <c:spPr>
          <a:solidFill>
            <a:schemeClr val="accent3">
              <a:lumMod val="60000"/>
              <a:lumOff val="40000"/>
            </a:schemeClr>
          </a:solidFill>
          <a:ln>
            <a:solidFill>
              <a:schemeClr val="tx1"/>
            </a:solidFill>
          </a:ln>
          <a:effectLst/>
        </c:spPr>
      </c:pivotFmt>
      <c:pivotFmt>
        <c:idx val="15"/>
        <c:spPr>
          <a:solidFill>
            <a:schemeClr val="accent3">
              <a:lumMod val="60000"/>
              <a:lumOff val="40000"/>
            </a:schemeClr>
          </a:solidFill>
          <a:ln>
            <a:solidFill>
              <a:schemeClr val="tx1"/>
            </a:solidFill>
          </a:ln>
          <a:effectLst/>
        </c:spPr>
      </c:pivotFmt>
      <c:pivotFmt>
        <c:idx val="16"/>
        <c:spPr>
          <a:solidFill>
            <a:schemeClr val="accent3">
              <a:lumMod val="60000"/>
              <a:lumOff val="40000"/>
            </a:schemeClr>
          </a:solidFill>
          <a:ln>
            <a:solidFill>
              <a:schemeClr val="tx1"/>
            </a:solidFill>
          </a:ln>
          <a:effectLst/>
        </c:spPr>
      </c:pivotFmt>
      <c:pivotFmt>
        <c:idx val="17"/>
        <c:spPr>
          <a:solidFill>
            <a:schemeClr val="accent3">
              <a:lumMod val="60000"/>
              <a:lumOff val="40000"/>
            </a:schemeClr>
          </a:solidFill>
          <a:ln>
            <a:solidFill>
              <a:schemeClr val="tx2"/>
            </a:solidFill>
          </a:ln>
          <a:effectLst/>
        </c:spPr>
      </c:pivotFmt>
    </c:pivotFmts>
    <c:plotArea>
      <c:layout>
        <c:manualLayout>
          <c:layoutTarget val="inner"/>
          <c:xMode val="edge"/>
          <c:yMode val="edge"/>
          <c:x val="0.24899781277340333"/>
          <c:y val="0.24476633129192185"/>
          <c:w val="0.57515026246719159"/>
          <c:h val="0.6293157626130067"/>
        </c:manualLayout>
      </c:layout>
      <c:barChart>
        <c:barDir val="bar"/>
        <c:grouping val="clustered"/>
        <c:varyColors val="0"/>
        <c:ser>
          <c:idx val="0"/>
          <c:order val="0"/>
          <c:tx>
            <c:strRef>
              <c:f>Visaulization!$B$3</c:f>
              <c:strCache>
                <c:ptCount val="1"/>
                <c:pt idx="0">
                  <c:v>Total</c:v>
                </c:pt>
              </c:strCache>
            </c:strRef>
          </c:tx>
          <c:spPr>
            <a:solidFill>
              <a:schemeClr val="accent3">
                <a:lumMod val="60000"/>
                <a:lumOff val="40000"/>
              </a:schemeClr>
            </a:solidFill>
            <a:ln>
              <a:noFill/>
            </a:ln>
            <a:effectLst/>
          </c:spPr>
          <c:invertIfNegative val="0"/>
          <c:dPt>
            <c:idx val="0"/>
            <c:invertIfNegative val="0"/>
            <c:bubble3D val="0"/>
            <c:spPr>
              <a:solidFill>
                <a:schemeClr val="accent3">
                  <a:lumMod val="60000"/>
                  <a:lumOff val="40000"/>
                </a:schemeClr>
              </a:solidFill>
              <a:ln>
                <a:solidFill>
                  <a:schemeClr val="tx1"/>
                </a:solidFill>
              </a:ln>
              <a:effectLst/>
            </c:spPr>
            <c:extLst>
              <c:ext xmlns:c16="http://schemas.microsoft.com/office/drawing/2014/chart" uri="{C3380CC4-5D6E-409C-BE32-E72D297353CC}">
                <c16:uniqueId val="{00000001-0D11-4956-AB5C-8E0D5DC88F0B}"/>
              </c:ext>
            </c:extLst>
          </c:dPt>
          <c:dPt>
            <c:idx val="1"/>
            <c:invertIfNegative val="0"/>
            <c:bubble3D val="0"/>
            <c:spPr>
              <a:solidFill>
                <a:schemeClr val="accent3">
                  <a:lumMod val="60000"/>
                  <a:lumOff val="40000"/>
                </a:schemeClr>
              </a:solidFill>
              <a:ln>
                <a:solidFill>
                  <a:schemeClr val="tx1"/>
                </a:solidFill>
              </a:ln>
              <a:effectLst/>
            </c:spPr>
            <c:extLst>
              <c:ext xmlns:c16="http://schemas.microsoft.com/office/drawing/2014/chart" uri="{C3380CC4-5D6E-409C-BE32-E72D297353CC}">
                <c16:uniqueId val="{00000003-0D11-4956-AB5C-8E0D5DC88F0B}"/>
              </c:ext>
            </c:extLst>
          </c:dPt>
          <c:dPt>
            <c:idx val="2"/>
            <c:invertIfNegative val="0"/>
            <c:bubble3D val="0"/>
            <c:spPr>
              <a:solidFill>
                <a:schemeClr val="accent3">
                  <a:lumMod val="60000"/>
                  <a:lumOff val="40000"/>
                </a:schemeClr>
              </a:solidFill>
              <a:ln>
                <a:solidFill>
                  <a:schemeClr val="tx2"/>
                </a:solidFill>
              </a:ln>
              <a:effectLst/>
            </c:spPr>
            <c:extLst>
              <c:ext xmlns:c16="http://schemas.microsoft.com/office/drawing/2014/chart" uri="{C3380CC4-5D6E-409C-BE32-E72D297353CC}">
                <c16:uniqueId val="{00000005-0D11-4956-AB5C-8E0D5DC88F0B}"/>
              </c:ext>
            </c:extLst>
          </c:dPt>
          <c:dPt>
            <c:idx val="3"/>
            <c:invertIfNegative val="0"/>
            <c:bubble3D val="0"/>
            <c:spPr>
              <a:solidFill>
                <a:schemeClr val="accent3">
                  <a:lumMod val="60000"/>
                  <a:lumOff val="40000"/>
                </a:schemeClr>
              </a:solidFill>
              <a:ln>
                <a:solidFill>
                  <a:schemeClr val="tx1">
                    <a:lumMod val="85000"/>
                    <a:lumOff val="15000"/>
                  </a:schemeClr>
                </a:solidFill>
              </a:ln>
              <a:effectLst/>
            </c:spPr>
            <c:extLst>
              <c:ext xmlns:c16="http://schemas.microsoft.com/office/drawing/2014/chart" uri="{C3380CC4-5D6E-409C-BE32-E72D297353CC}">
                <c16:uniqueId val="{00000007-0D11-4956-AB5C-8E0D5DC88F0B}"/>
              </c:ext>
            </c:extLst>
          </c:dPt>
          <c:dPt>
            <c:idx val="4"/>
            <c:invertIfNegative val="0"/>
            <c:bubble3D val="0"/>
            <c:spPr>
              <a:solidFill>
                <a:schemeClr val="accent3">
                  <a:lumMod val="60000"/>
                  <a:lumOff val="40000"/>
                </a:schemeClr>
              </a:solidFill>
              <a:ln>
                <a:solidFill>
                  <a:schemeClr val="tx1"/>
                </a:solidFill>
              </a:ln>
              <a:effectLst/>
            </c:spPr>
            <c:extLst>
              <c:ext xmlns:c16="http://schemas.microsoft.com/office/drawing/2014/chart" uri="{C3380CC4-5D6E-409C-BE32-E72D297353CC}">
                <c16:uniqueId val="{00000009-0D11-4956-AB5C-8E0D5DC88F0B}"/>
              </c:ext>
            </c:extLst>
          </c:dPt>
          <c:cat>
            <c:strRef>
              <c:f>Visaulization!$A$4:$A$9</c:f>
              <c:strCache>
                <c:ptCount val="5"/>
                <c:pt idx="0">
                  <c:v>East</c:v>
                </c:pt>
                <c:pt idx="1">
                  <c:v>North</c:v>
                </c:pt>
                <c:pt idx="2">
                  <c:v>West</c:v>
                </c:pt>
                <c:pt idx="3">
                  <c:v>Central</c:v>
                </c:pt>
                <c:pt idx="4">
                  <c:v>South</c:v>
                </c:pt>
              </c:strCache>
            </c:strRef>
          </c:cat>
          <c:val>
            <c:numRef>
              <c:f>Visaulization!$B$4:$B$9</c:f>
              <c:numCache>
                <c:formatCode>General</c:formatCode>
                <c:ptCount val="5"/>
                <c:pt idx="0">
                  <c:v>59288.389999999992</c:v>
                </c:pt>
                <c:pt idx="1">
                  <c:v>50808.310000000012</c:v>
                </c:pt>
                <c:pt idx="2">
                  <c:v>41408.680000000015</c:v>
                </c:pt>
                <c:pt idx="3">
                  <c:v>41288.340000000018</c:v>
                </c:pt>
                <c:pt idx="4">
                  <c:v>36398.750000000007</c:v>
                </c:pt>
              </c:numCache>
            </c:numRef>
          </c:val>
          <c:extLst>
            <c:ext xmlns:c16="http://schemas.microsoft.com/office/drawing/2014/chart" uri="{C3380CC4-5D6E-409C-BE32-E72D297353CC}">
              <c16:uniqueId val="{0000000A-0D11-4956-AB5C-8E0D5DC88F0B}"/>
            </c:ext>
          </c:extLst>
        </c:ser>
        <c:dLbls>
          <c:showLegendKey val="0"/>
          <c:showVal val="0"/>
          <c:showCatName val="0"/>
          <c:showSerName val="0"/>
          <c:showPercent val="0"/>
          <c:showBubbleSize val="0"/>
        </c:dLbls>
        <c:gapWidth val="182"/>
        <c:axId val="1411105120"/>
        <c:axId val="1411106080"/>
      </c:barChart>
      <c:catAx>
        <c:axId val="1411105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mr-IN"/>
          </a:p>
        </c:txPr>
        <c:crossAx val="1411106080"/>
        <c:crosses val="autoZero"/>
        <c:auto val="1"/>
        <c:lblAlgn val="ctr"/>
        <c:lblOffset val="100"/>
        <c:noMultiLvlLbl val="0"/>
      </c:catAx>
      <c:valAx>
        <c:axId val="14111060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mr-IN"/>
          </a:p>
        </c:txPr>
        <c:crossAx val="1411105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mr-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Project.xlsx]Visaulization!PivotTable6</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Customer</a:t>
            </a:r>
            <a:r>
              <a:rPr lang="en-US" b="1" baseline="0"/>
              <a:t> Segement Sales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tx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tx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Visaulization!$K$2</c:f>
              <c:strCache>
                <c:ptCount val="1"/>
                <c:pt idx="0">
                  <c:v>Total</c:v>
                </c:pt>
              </c:strCache>
            </c:strRef>
          </c:tx>
          <c:spPr>
            <a:ln w="28575" cap="rnd">
              <a:solidFill>
                <a:schemeClr val="tx2"/>
              </a:solidFill>
              <a:round/>
            </a:ln>
            <a:effectLst/>
          </c:spPr>
          <c:marker>
            <c:symbol val="none"/>
          </c:marker>
          <c:cat>
            <c:multiLvlStrRef>
              <c:f>Visaulization!$J$3:$J$18</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2024</c:v>
                  </c:pt>
                  <c:pt idx="9">
                    <c:v>2025</c:v>
                  </c:pt>
                </c:lvl>
              </c:multiLvlStrCache>
            </c:multiLvlStrRef>
          </c:cat>
          <c:val>
            <c:numRef>
              <c:f>Visaulization!$K$3:$K$18</c:f>
              <c:numCache>
                <c:formatCode>General</c:formatCode>
                <c:ptCount val="13"/>
                <c:pt idx="0">
                  <c:v>20919.330000000002</c:v>
                </c:pt>
                <c:pt idx="1">
                  <c:v>17039.349999999999</c:v>
                </c:pt>
                <c:pt idx="2">
                  <c:v>19299.45</c:v>
                </c:pt>
                <c:pt idx="3">
                  <c:v>18479.399999999994</c:v>
                </c:pt>
                <c:pt idx="4">
                  <c:v>15759.429999999997</c:v>
                </c:pt>
                <c:pt idx="5">
                  <c:v>12989.509999999997</c:v>
                </c:pt>
                <c:pt idx="6">
                  <c:v>20609.52</c:v>
                </c:pt>
                <c:pt idx="7">
                  <c:v>12309.439999999999</c:v>
                </c:pt>
                <c:pt idx="8">
                  <c:v>23039.3</c:v>
                </c:pt>
                <c:pt idx="9">
                  <c:v>25799.15</c:v>
                </c:pt>
                <c:pt idx="10">
                  <c:v>16069.379999999997</c:v>
                </c:pt>
                <c:pt idx="11">
                  <c:v>19899.379999999997</c:v>
                </c:pt>
                <c:pt idx="12">
                  <c:v>6979.829999999999</c:v>
                </c:pt>
              </c:numCache>
            </c:numRef>
          </c:val>
          <c:smooth val="0"/>
          <c:extLst>
            <c:ext xmlns:c16="http://schemas.microsoft.com/office/drawing/2014/chart" uri="{C3380CC4-5D6E-409C-BE32-E72D297353CC}">
              <c16:uniqueId val="{00000000-9312-4A55-AFC8-085D8DB73148}"/>
            </c:ext>
          </c:extLst>
        </c:ser>
        <c:dLbls>
          <c:showLegendKey val="0"/>
          <c:showVal val="0"/>
          <c:showCatName val="0"/>
          <c:showSerName val="0"/>
          <c:showPercent val="0"/>
          <c:showBubbleSize val="0"/>
        </c:dLbls>
        <c:smooth val="0"/>
        <c:axId val="29215808"/>
        <c:axId val="29217248"/>
      </c:lineChart>
      <c:catAx>
        <c:axId val="29215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mr-IN"/>
          </a:p>
        </c:txPr>
        <c:crossAx val="29217248"/>
        <c:crosses val="autoZero"/>
        <c:auto val="1"/>
        <c:lblAlgn val="ctr"/>
        <c:lblOffset val="100"/>
        <c:noMultiLvlLbl val="0"/>
      </c:catAx>
      <c:valAx>
        <c:axId val="29217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mr-IN"/>
          </a:p>
        </c:txPr>
        <c:crossAx val="29215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Project.xlsx]Visaulization!PivotTable3</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Category</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mr-IN"/>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mr-IN"/>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mr-IN"/>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mr-IN"/>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Visaulization!$B$23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0E4-4AA5-B1A3-9E10E4EDD38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0E4-4AA5-B1A3-9E10E4EDD38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0E4-4AA5-B1A3-9E10E4EDD380}"/>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mr-IN"/>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Visaulization!$A$24:$A$27</c:f>
              <c:strCache>
                <c:ptCount val="3"/>
                <c:pt idx="0">
                  <c:v>Appliances</c:v>
                </c:pt>
                <c:pt idx="1">
                  <c:v>Electronics</c:v>
                </c:pt>
                <c:pt idx="2">
                  <c:v>Furniture</c:v>
                </c:pt>
              </c:strCache>
            </c:strRef>
          </c:cat>
          <c:val>
            <c:numRef>
              <c:f>Visaulization!$B$24:$B$27</c:f>
              <c:numCache>
                <c:formatCode>General</c:formatCode>
                <c:ptCount val="3"/>
                <c:pt idx="0">
                  <c:v>8338.7399999999961</c:v>
                </c:pt>
                <c:pt idx="1">
                  <c:v>171756.05000000013</c:v>
                </c:pt>
                <c:pt idx="2">
                  <c:v>49097.680000000015</c:v>
                </c:pt>
              </c:numCache>
            </c:numRef>
          </c:val>
          <c:extLst>
            <c:ext xmlns:c16="http://schemas.microsoft.com/office/drawing/2014/chart" uri="{C3380CC4-5D6E-409C-BE32-E72D297353CC}">
              <c16:uniqueId val="{00000006-50E4-4AA5-B1A3-9E10E4EDD38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mr-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Project.xlsx]Visaulization!PivotTable5</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Most</a:t>
            </a:r>
            <a:r>
              <a:rPr lang="en-US" b="1" baseline="0"/>
              <a:t> Purchased Products</a:t>
            </a:r>
          </a:p>
        </c:rich>
      </c:tx>
      <c:layout>
        <c:manualLayout>
          <c:xMode val="edge"/>
          <c:yMode val="edge"/>
          <c:x val="0.293340113735783"/>
          <c:y val="5.916447944006999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mr-IN"/>
        </a:p>
      </c:txPr>
    </c:title>
    <c:autoTitleDeleted val="0"/>
    <c:pivotFmts>
      <c:pivotFmt>
        <c:idx val="0"/>
        <c:spPr>
          <a:solidFill>
            <a:schemeClr val="accent3">
              <a:lumMod val="40000"/>
              <a:lumOff val="60000"/>
            </a:schemeClr>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40000"/>
              <a:lumOff val="60000"/>
            </a:schemeClr>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40000"/>
              <a:lumOff val="60000"/>
            </a:schemeClr>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lumMod val="40000"/>
              <a:lumOff val="60000"/>
            </a:schemeClr>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lumMod val="40000"/>
              <a:lumOff val="60000"/>
            </a:schemeClr>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20309966462525517"/>
          <c:w val="0.77378937007874016"/>
          <c:h val="0.44665427238261884"/>
        </c:manualLayout>
      </c:layout>
      <c:barChart>
        <c:barDir val="col"/>
        <c:grouping val="clustered"/>
        <c:varyColors val="0"/>
        <c:ser>
          <c:idx val="0"/>
          <c:order val="0"/>
          <c:tx>
            <c:strRef>
              <c:f>Visaulization!$K$22</c:f>
              <c:strCache>
                <c:ptCount val="1"/>
                <c:pt idx="0">
                  <c:v>Total</c:v>
                </c:pt>
              </c:strCache>
            </c:strRef>
          </c:tx>
          <c:spPr>
            <a:solidFill>
              <a:schemeClr val="accent3">
                <a:lumMod val="40000"/>
                <a:lumOff val="60000"/>
              </a:schemeClr>
            </a:solidFill>
            <a:ln>
              <a:solidFill>
                <a:schemeClr val="tx1">
                  <a:lumMod val="95000"/>
                  <a:lumOff val="5000"/>
                </a:schemeClr>
              </a:solidFill>
            </a:ln>
            <a:effectLst/>
          </c:spPr>
          <c:invertIfNegative val="0"/>
          <c:cat>
            <c:strRef>
              <c:f>Visaulization!$J$23:$J$33</c:f>
              <c:strCache>
                <c:ptCount val="10"/>
                <c:pt idx="0">
                  <c:v>Bookshelf</c:v>
                </c:pt>
                <c:pt idx="1">
                  <c:v>Keyboard</c:v>
                </c:pt>
                <c:pt idx="2">
                  <c:v>Smartphone</c:v>
                </c:pt>
                <c:pt idx="3">
                  <c:v>Blender</c:v>
                </c:pt>
                <c:pt idx="4">
                  <c:v>Desk</c:v>
                </c:pt>
                <c:pt idx="5">
                  <c:v>Monitor</c:v>
                </c:pt>
                <c:pt idx="6">
                  <c:v>Laptop</c:v>
                </c:pt>
                <c:pt idx="7">
                  <c:v>Headphones</c:v>
                </c:pt>
                <c:pt idx="8">
                  <c:v>Office Chair</c:v>
                </c:pt>
                <c:pt idx="9">
                  <c:v>Coffee Maker</c:v>
                </c:pt>
              </c:strCache>
            </c:strRef>
          </c:cat>
          <c:val>
            <c:numRef>
              <c:f>Visaulization!$K$23:$K$33</c:f>
              <c:numCache>
                <c:formatCode>General</c:formatCode>
                <c:ptCount val="10"/>
                <c:pt idx="0">
                  <c:v>35</c:v>
                </c:pt>
                <c:pt idx="1">
                  <c:v>34</c:v>
                </c:pt>
                <c:pt idx="2">
                  <c:v>31</c:v>
                </c:pt>
                <c:pt idx="3">
                  <c:v>29</c:v>
                </c:pt>
                <c:pt idx="4">
                  <c:v>26</c:v>
                </c:pt>
                <c:pt idx="5">
                  <c:v>26</c:v>
                </c:pt>
                <c:pt idx="6">
                  <c:v>24</c:v>
                </c:pt>
                <c:pt idx="7">
                  <c:v>16</c:v>
                </c:pt>
                <c:pt idx="8">
                  <c:v>15</c:v>
                </c:pt>
                <c:pt idx="9">
                  <c:v>14</c:v>
                </c:pt>
              </c:numCache>
            </c:numRef>
          </c:val>
          <c:extLst>
            <c:ext xmlns:c16="http://schemas.microsoft.com/office/drawing/2014/chart" uri="{C3380CC4-5D6E-409C-BE32-E72D297353CC}">
              <c16:uniqueId val="{00000000-BD97-452F-BF05-EB2BF54E1C45}"/>
            </c:ext>
          </c:extLst>
        </c:ser>
        <c:dLbls>
          <c:showLegendKey val="0"/>
          <c:showVal val="0"/>
          <c:showCatName val="0"/>
          <c:showSerName val="0"/>
          <c:showPercent val="0"/>
          <c:showBubbleSize val="0"/>
        </c:dLbls>
        <c:gapWidth val="219"/>
        <c:overlap val="-27"/>
        <c:axId val="29220128"/>
        <c:axId val="29213888"/>
      </c:barChart>
      <c:catAx>
        <c:axId val="2922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mr-IN"/>
          </a:p>
        </c:txPr>
        <c:crossAx val="29213888"/>
        <c:crosses val="autoZero"/>
        <c:auto val="1"/>
        <c:lblAlgn val="ctr"/>
        <c:lblOffset val="100"/>
        <c:noMultiLvlLbl val="0"/>
      </c:catAx>
      <c:valAx>
        <c:axId val="29213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mr-IN"/>
          </a:p>
        </c:txPr>
        <c:crossAx val="29220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mr-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Project.xlsx]Visaulization!PivotTable2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Regional</a:t>
            </a:r>
            <a:r>
              <a:rPr lang="en-IN" b="1" baseline="0"/>
              <a:t> Sales</a:t>
            </a:r>
            <a:endParaRPr lang="en-IN" b="1"/>
          </a:p>
        </c:rich>
      </c:tx>
      <c:layout>
        <c:manualLayout>
          <c:xMode val="edge"/>
          <c:yMode val="edge"/>
          <c:x val="0.43851091963501698"/>
          <c:y val="5.865000905226572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60000"/>
              <a:lumOff val="40000"/>
            </a:schemeClr>
          </a:solidFill>
          <a:ln>
            <a:solidFill>
              <a:schemeClr val="tx1"/>
            </a:solidFill>
          </a:ln>
          <a:effectLst/>
        </c:spPr>
      </c:pivotFmt>
      <c:pivotFmt>
        <c:idx val="2"/>
        <c:spPr>
          <a:solidFill>
            <a:schemeClr val="accent3">
              <a:lumMod val="60000"/>
              <a:lumOff val="40000"/>
            </a:schemeClr>
          </a:solidFill>
          <a:ln>
            <a:solidFill>
              <a:schemeClr val="tx2"/>
            </a:solidFill>
          </a:ln>
          <a:effectLst/>
        </c:spPr>
      </c:pivotFmt>
      <c:pivotFmt>
        <c:idx val="3"/>
        <c:spPr>
          <a:solidFill>
            <a:schemeClr val="accent3">
              <a:lumMod val="60000"/>
              <a:lumOff val="40000"/>
            </a:schemeClr>
          </a:solidFill>
          <a:ln>
            <a:solidFill>
              <a:schemeClr val="tx1"/>
            </a:solidFill>
          </a:ln>
          <a:effectLst/>
        </c:spPr>
      </c:pivotFmt>
      <c:pivotFmt>
        <c:idx val="4"/>
        <c:spPr>
          <a:solidFill>
            <a:schemeClr val="accent3">
              <a:lumMod val="60000"/>
              <a:lumOff val="40000"/>
            </a:schemeClr>
          </a:solidFill>
          <a:ln>
            <a:solidFill>
              <a:schemeClr val="tx1"/>
            </a:solidFill>
          </a:ln>
          <a:effectLst/>
        </c:spPr>
      </c:pivotFmt>
      <c:pivotFmt>
        <c:idx val="5"/>
        <c:spPr>
          <a:solidFill>
            <a:schemeClr val="accent3">
              <a:lumMod val="60000"/>
              <a:lumOff val="40000"/>
            </a:schemeClr>
          </a:solidFill>
          <a:ln>
            <a:solidFill>
              <a:schemeClr val="tx1">
                <a:lumMod val="85000"/>
                <a:lumOff val="15000"/>
              </a:schemeClr>
            </a:solidFill>
          </a:ln>
          <a:effectLst/>
        </c:spPr>
      </c:pivotFmt>
    </c:pivotFmts>
    <c:plotArea>
      <c:layout>
        <c:manualLayout>
          <c:layoutTarget val="inner"/>
          <c:xMode val="edge"/>
          <c:yMode val="edge"/>
          <c:x val="0.24899781277340333"/>
          <c:y val="0.24476633129192185"/>
          <c:w val="0.57515026246719159"/>
          <c:h val="0.6293157626130067"/>
        </c:manualLayout>
      </c:layout>
      <c:barChart>
        <c:barDir val="bar"/>
        <c:grouping val="clustered"/>
        <c:varyColors val="0"/>
        <c:ser>
          <c:idx val="0"/>
          <c:order val="0"/>
          <c:tx>
            <c:strRef>
              <c:f>Visaulization!$B$3</c:f>
              <c:strCache>
                <c:ptCount val="1"/>
                <c:pt idx="0">
                  <c:v>Total</c:v>
                </c:pt>
              </c:strCache>
            </c:strRef>
          </c:tx>
          <c:spPr>
            <a:solidFill>
              <a:schemeClr val="accent3">
                <a:lumMod val="60000"/>
                <a:lumOff val="40000"/>
              </a:schemeClr>
            </a:solidFill>
            <a:ln>
              <a:noFill/>
            </a:ln>
            <a:effectLst/>
          </c:spPr>
          <c:invertIfNegative val="0"/>
          <c:dPt>
            <c:idx val="0"/>
            <c:invertIfNegative val="0"/>
            <c:bubble3D val="0"/>
            <c:spPr>
              <a:solidFill>
                <a:schemeClr val="accent3">
                  <a:lumMod val="60000"/>
                  <a:lumOff val="40000"/>
                </a:schemeClr>
              </a:solidFill>
              <a:ln>
                <a:solidFill>
                  <a:schemeClr val="tx1"/>
                </a:solidFill>
              </a:ln>
              <a:effectLst/>
            </c:spPr>
            <c:extLst>
              <c:ext xmlns:c16="http://schemas.microsoft.com/office/drawing/2014/chart" uri="{C3380CC4-5D6E-409C-BE32-E72D297353CC}">
                <c16:uniqueId val="{00000007-788A-4A8A-8430-3F3DC0CA8609}"/>
              </c:ext>
            </c:extLst>
          </c:dPt>
          <c:dPt>
            <c:idx val="1"/>
            <c:invertIfNegative val="0"/>
            <c:bubble3D val="0"/>
            <c:spPr>
              <a:solidFill>
                <a:schemeClr val="accent3">
                  <a:lumMod val="60000"/>
                  <a:lumOff val="40000"/>
                </a:schemeClr>
              </a:solidFill>
              <a:ln>
                <a:solidFill>
                  <a:schemeClr val="tx1"/>
                </a:solidFill>
              </a:ln>
              <a:effectLst/>
            </c:spPr>
            <c:extLst>
              <c:ext xmlns:c16="http://schemas.microsoft.com/office/drawing/2014/chart" uri="{C3380CC4-5D6E-409C-BE32-E72D297353CC}">
                <c16:uniqueId val="{00000003-788A-4A8A-8430-3F3DC0CA8609}"/>
              </c:ext>
            </c:extLst>
          </c:dPt>
          <c:dPt>
            <c:idx val="2"/>
            <c:invertIfNegative val="0"/>
            <c:bubble3D val="0"/>
            <c:spPr>
              <a:solidFill>
                <a:schemeClr val="accent3">
                  <a:lumMod val="60000"/>
                  <a:lumOff val="40000"/>
                </a:schemeClr>
              </a:solidFill>
              <a:ln>
                <a:solidFill>
                  <a:schemeClr val="tx2"/>
                </a:solidFill>
              </a:ln>
              <a:effectLst/>
            </c:spPr>
            <c:extLst>
              <c:ext xmlns:c16="http://schemas.microsoft.com/office/drawing/2014/chart" uri="{C3380CC4-5D6E-409C-BE32-E72D297353CC}">
                <c16:uniqueId val="{00000006-788A-4A8A-8430-3F3DC0CA8609}"/>
              </c:ext>
            </c:extLst>
          </c:dPt>
          <c:dPt>
            <c:idx val="3"/>
            <c:invertIfNegative val="0"/>
            <c:bubble3D val="0"/>
            <c:spPr>
              <a:solidFill>
                <a:schemeClr val="accent3">
                  <a:lumMod val="60000"/>
                  <a:lumOff val="40000"/>
                </a:schemeClr>
              </a:solidFill>
              <a:ln>
                <a:solidFill>
                  <a:schemeClr val="tx1">
                    <a:lumMod val="85000"/>
                    <a:lumOff val="15000"/>
                  </a:schemeClr>
                </a:solidFill>
              </a:ln>
              <a:effectLst/>
            </c:spPr>
            <c:extLst>
              <c:ext xmlns:c16="http://schemas.microsoft.com/office/drawing/2014/chart" uri="{C3380CC4-5D6E-409C-BE32-E72D297353CC}">
                <c16:uniqueId val="{00000005-788A-4A8A-8430-3F3DC0CA8609}"/>
              </c:ext>
            </c:extLst>
          </c:dPt>
          <c:dPt>
            <c:idx val="4"/>
            <c:invertIfNegative val="0"/>
            <c:bubble3D val="0"/>
            <c:spPr>
              <a:solidFill>
                <a:schemeClr val="accent3">
                  <a:lumMod val="60000"/>
                  <a:lumOff val="40000"/>
                </a:schemeClr>
              </a:solidFill>
              <a:ln>
                <a:solidFill>
                  <a:schemeClr val="tx1"/>
                </a:solidFill>
              </a:ln>
              <a:effectLst/>
            </c:spPr>
            <c:extLst>
              <c:ext xmlns:c16="http://schemas.microsoft.com/office/drawing/2014/chart" uri="{C3380CC4-5D6E-409C-BE32-E72D297353CC}">
                <c16:uniqueId val="{00000004-788A-4A8A-8430-3F3DC0CA8609}"/>
              </c:ext>
            </c:extLst>
          </c:dPt>
          <c:cat>
            <c:strRef>
              <c:f>Visaulization!$A$4:$A$9</c:f>
              <c:strCache>
                <c:ptCount val="5"/>
                <c:pt idx="0">
                  <c:v>East</c:v>
                </c:pt>
                <c:pt idx="1">
                  <c:v>North</c:v>
                </c:pt>
                <c:pt idx="2">
                  <c:v>West</c:v>
                </c:pt>
                <c:pt idx="3">
                  <c:v>Central</c:v>
                </c:pt>
                <c:pt idx="4">
                  <c:v>South</c:v>
                </c:pt>
              </c:strCache>
            </c:strRef>
          </c:cat>
          <c:val>
            <c:numRef>
              <c:f>Visaulization!$B$4:$B$9</c:f>
              <c:numCache>
                <c:formatCode>General</c:formatCode>
                <c:ptCount val="5"/>
                <c:pt idx="0">
                  <c:v>59288.389999999992</c:v>
                </c:pt>
                <c:pt idx="1">
                  <c:v>50808.310000000012</c:v>
                </c:pt>
                <c:pt idx="2">
                  <c:v>41408.680000000015</c:v>
                </c:pt>
                <c:pt idx="3">
                  <c:v>41288.340000000018</c:v>
                </c:pt>
                <c:pt idx="4">
                  <c:v>36398.750000000007</c:v>
                </c:pt>
              </c:numCache>
            </c:numRef>
          </c:val>
          <c:extLst>
            <c:ext xmlns:c16="http://schemas.microsoft.com/office/drawing/2014/chart" uri="{C3380CC4-5D6E-409C-BE32-E72D297353CC}">
              <c16:uniqueId val="{00000000-788A-4A8A-8430-3F3DC0CA8609}"/>
            </c:ext>
          </c:extLst>
        </c:ser>
        <c:dLbls>
          <c:showLegendKey val="0"/>
          <c:showVal val="0"/>
          <c:showCatName val="0"/>
          <c:showSerName val="0"/>
          <c:showPercent val="0"/>
          <c:showBubbleSize val="0"/>
        </c:dLbls>
        <c:gapWidth val="182"/>
        <c:axId val="1411105120"/>
        <c:axId val="1411106080"/>
      </c:barChart>
      <c:catAx>
        <c:axId val="1411105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mr-IN"/>
          </a:p>
        </c:txPr>
        <c:crossAx val="1411106080"/>
        <c:crosses val="autoZero"/>
        <c:auto val="1"/>
        <c:lblAlgn val="ctr"/>
        <c:lblOffset val="100"/>
        <c:noMultiLvlLbl val="0"/>
      </c:catAx>
      <c:valAx>
        <c:axId val="14111060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mr-IN"/>
          </a:p>
        </c:txPr>
        <c:crossAx val="1411105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mr-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Project.xlsx]Visaulization!PivotTable3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Category</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mr-IN"/>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mr-IN"/>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Visaulization!$B$23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248-4B42-8090-F75DC8D2E56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248-4B42-8090-F75DC8D2E56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248-4B42-8090-F75DC8D2E562}"/>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mr-IN"/>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Visaulization!$A$24:$A$27</c:f>
              <c:strCache>
                <c:ptCount val="3"/>
                <c:pt idx="0">
                  <c:v>Appliances</c:v>
                </c:pt>
                <c:pt idx="1">
                  <c:v>Electronics</c:v>
                </c:pt>
                <c:pt idx="2">
                  <c:v>Furniture</c:v>
                </c:pt>
              </c:strCache>
            </c:strRef>
          </c:cat>
          <c:val>
            <c:numRef>
              <c:f>Visaulization!$B$24:$B$27</c:f>
              <c:numCache>
                <c:formatCode>General</c:formatCode>
                <c:ptCount val="3"/>
                <c:pt idx="0">
                  <c:v>8338.7399999999961</c:v>
                </c:pt>
                <c:pt idx="1">
                  <c:v>171756.05000000013</c:v>
                </c:pt>
                <c:pt idx="2">
                  <c:v>49097.680000000015</c:v>
                </c:pt>
              </c:numCache>
            </c:numRef>
          </c:val>
          <c:extLst>
            <c:ext xmlns:c16="http://schemas.microsoft.com/office/drawing/2014/chart" uri="{C3380CC4-5D6E-409C-BE32-E72D297353CC}">
              <c16:uniqueId val="{00000000-9132-43A2-A673-F555BD240FD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mr-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Project.xlsx]Visaulization!PivotTable6</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Customer</a:t>
            </a:r>
            <a:r>
              <a:rPr lang="en-US" b="1" baseline="0"/>
              <a:t> Segement Sales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mr-IN"/>
        </a:p>
      </c:txPr>
    </c:title>
    <c:autoTitleDeleted val="0"/>
    <c:pivotFmts>
      <c:pivotFmt>
        <c:idx val="0"/>
        <c:spPr>
          <a:ln w="28575" cap="rnd">
            <a:solidFill>
              <a:schemeClr val="tx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Visaulization!$K$2</c:f>
              <c:strCache>
                <c:ptCount val="1"/>
                <c:pt idx="0">
                  <c:v>Total</c:v>
                </c:pt>
              </c:strCache>
            </c:strRef>
          </c:tx>
          <c:spPr>
            <a:ln w="28575" cap="rnd">
              <a:solidFill>
                <a:schemeClr val="tx2"/>
              </a:solidFill>
              <a:round/>
            </a:ln>
            <a:effectLst/>
          </c:spPr>
          <c:marker>
            <c:symbol val="none"/>
          </c:marker>
          <c:cat>
            <c:multiLvlStrRef>
              <c:f>Visaulization!$J$3:$J$18</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2024</c:v>
                  </c:pt>
                  <c:pt idx="9">
                    <c:v>2025</c:v>
                  </c:pt>
                </c:lvl>
              </c:multiLvlStrCache>
            </c:multiLvlStrRef>
          </c:cat>
          <c:val>
            <c:numRef>
              <c:f>Visaulization!$K$3:$K$18</c:f>
              <c:numCache>
                <c:formatCode>General</c:formatCode>
                <c:ptCount val="13"/>
                <c:pt idx="0">
                  <c:v>20919.330000000002</c:v>
                </c:pt>
                <c:pt idx="1">
                  <c:v>17039.349999999999</c:v>
                </c:pt>
                <c:pt idx="2">
                  <c:v>19299.45</c:v>
                </c:pt>
                <c:pt idx="3">
                  <c:v>18479.399999999994</c:v>
                </c:pt>
                <c:pt idx="4">
                  <c:v>15759.429999999997</c:v>
                </c:pt>
                <c:pt idx="5">
                  <c:v>12989.509999999997</c:v>
                </c:pt>
                <c:pt idx="6">
                  <c:v>20609.52</c:v>
                </c:pt>
                <c:pt idx="7">
                  <c:v>12309.439999999999</c:v>
                </c:pt>
                <c:pt idx="8">
                  <c:v>23039.3</c:v>
                </c:pt>
                <c:pt idx="9">
                  <c:v>25799.15</c:v>
                </c:pt>
                <c:pt idx="10">
                  <c:v>16069.379999999997</c:v>
                </c:pt>
                <c:pt idx="11">
                  <c:v>19899.379999999997</c:v>
                </c:pt>
                <c:pt idx="12">
                  <c:v>6979.829999999999</c:v>
                </c:pt>
              </c:numCache>
            </c:numRef>
          </c:val>
          <c:smooth val="0"/>
          <c:extLst>
            <c:ext xmlns:c16="http://schemas.microsoft.com/office/drawing/2014/chart" uri="{C3380CC4-5D6E-409C-BE32-E72D297353CC}">
              <c16:uniqueId val="{00000000-DD2D-4D87-8F8C-686A6E8BF07C}"/>
            </c:ext>
          </c:extLst>
        </c:ser>
        <c:dLbls>
          <c:showLegendKey val="0"/>
          <c:showVal val="0"/>
          <c:showCatName val="0"/>
          <c:showSerName val="0"/>
          <c:showPercent val="0"/>
          <c:showBubbleSize val="0"/>
        </c:dLbls>
        <c:smooth val="0"/>
        <c:axId val="29215808"/>
        <c:axId val="29217248"/>
      </c:lineChart>
      <c:catAx>
        <c:axId val="29215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mr-IN"/>
          </a:p>
        </c:txPr>
        <c:crossAx val="29217248"/>
        <c:crosses val="autoZero"/>
        <c:auto val="1"/>
        <c:lblAlgn val="ctr"/>
        <c:lblOffset val="100"/>
        <c:noMultiLvlLbl val="0"/>
      </c:catAx>
      <c:valAx>
        <c:axId val="29217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mr-IN"/>
          </a:p>
        </c:txPr>
        <c:crossAx val="29215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Project.xlsx]Visaulization!PivotTable5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a:t>
            </a:r>
            <a:r>
              <a:rPr lang="en-US" baseline="0"/>
              <a:t> Purchased Products</a:t>
            </a:r>
          </a:p>
        </c:rich>
      </c:tx>
      <c:layout>
        <c:manualLayout>
          <c:xMode val="edge"/>
          <c:yMode val="edge"/>
          <c:x val="0.293340113735783"/>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mr-IN"/>
        </a:p>
      </c:txPr>
    </c:title>
    <c:autoTitleDeleted val="0"/>
    <c:pivotFmts>
      <c:pivotFmt>
        <c:idx val="0"/>
        <c:spPr>
          <a:solidFill>
            <a:schemeClr val="accent3">
              <a:lumMod val="40000"/>
              <a:lumOff val="60000"/>
            </a:schemeClr>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40000"/>
              <a:lumOff val="60000"/>
            </a:schemeClr>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40000"/>
              <a:lumOff val="60000"/>
            </a:schemeClr>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20309966462525517"/>
          <c:w val="0.77378937007874016"/>
          <c:h val="0.44665427238261884"/>
        </c:manualLayout>
      </c:layout>
      <c:barChart>
        <c:barDir val="col"/>
        <c:grouping val="clustered"/>
        <c:varyColors val="0"/>
        <c:ser>
          <c:idx val="0"/>
          <c:order val="0"/>
          <c:tx>
            <c:strRef>
              <c:f>Visaulization!$K$22</c:f>
              <c:strCache>
                <c:ptCount val="1"/>
                <c:pt idx="0">
                  <c:v>Total</c:v>
                </c:pt>
              </c:strCache>
            </c:strRef>
          </c:tx>
          <c:spPr>
            <a:solidFill>
              <a:schemeClr val="accent3">
                <a:lumMod val="40000"/>
                <a:lumOff val="60000"/>
              </a:schemeClr>
            </a:solidFill>
            <a:ln>
              <a:solidFill>
                <a:schemeClr val="tx1">
                  <a:lumMod val="95000"/>
                  <a:lumOff val="5000"/>
                </a:schemeClr>
              </a:solidFill>
            </a:ln>
            <a:effectLst/>
          </c:spPr>
          <c:invertIfNegative val="0"/>
          <c:cat>
            <c:strRef>
              <c:f>Visaulization!$J$23:$J$33</c:f>
              <c:strCache>
                <c:ptCount val="10"/>
                <c:pt idx="0">
                  <c:v>Bookshelf</c:v>
                </c:pt>
                <c:pt idx="1">
                  <c:v>Keyboard</c:v>
                </c:pt>
                <c:pt idx="2">
                  <c:v>Smartphone</c:v>
                </c:pt>
                <c:pt idx="3">
                  <c:v>Blender</c:v>
                </c:pt>
                <c:pt idx="4">
                  <c:v>Desk</c:v>
                </c:pt>
                <c:pt idx="5">
                  <c:v>Monitor</c:v>
                </c:pt>
                <c:pt idx="6">
                  <c:v>Laptop</c:v>
                </c:pt>
                <c:pt idx="7">
                  <c:v>Headphones</c:v>
                </c:pt>
                <c:pt idx="8">
                  <c:v>Office Chair</c:v>
                </c:pt>
                <c:pt idx="9">
                  <c:v>Coffee Maker</c:v>
                </c:pt>
              </c:strCache>
            </c:strRef>
          </c:cat>
          <c:val>
            <c:numRef>
              <c:f>Visaulization!$K$23:$K$33</c:f>
              <c:numCache>
                <c:formatCode>General</c:formatCode>
                <c:ptCount val="10"/>
                <c:pt idx="0">
                  <c:v>35</c:v>
                </c:pt>
                <c:pt idx="1">
                  <c:v>34</c:v>
                </c:pt>
                <c:pt idx="2">
                  <c:v>31</c:v>
                </c:pt>
                <c:pt idx="3">
                  <c:v>29</c:v>
                </c:pt>
                <c:pt idx="4">
                  <c:v>26</c:v>
                </c:pt>
                <c:pt idx="5">
                  <c:v>26</c:v>
                </c:pt>
                <c:pt idx="6">
                  <c:v>24</c:v>
                </c:pt>
                <c:pt idx="7">
                  <c:v>16</c:v>
                </c:pt>
                <c:pt idx="8">
                  <c:v>15</c:v>
                </c:pt>
                <c:pt idx="9">
                  <c:v>14</c:v>
                </c:pt>
              </c:numCache>
            </c:numRef>
          </c:val>
          <c:extLst>
            <c:ext xmlns:c16="http://schemas.microsoft.com/office/drawing/2014/chart" uri="{C3380CC4-5D6E-409C-BE32-E72D297353CC}">
              <c16:uniqueId val="{00000000-6C9C-4F6E-9178-91C87FD3424D}"/>
            </c:ext>
          </c:extLst>
        </c:ser>
        <c:dLbls>
          <c:showLegendKey val="0"/>
          <c:showVal val="0"/>
          <c:showCatName val="0"/>
          <c:showSerName val="0"/>
          <c:showPercent val="0"/>
          <c:showBubbleSize val="0"/>
        </c:dLbls>
        <c:gapWidth val="219"/>
        <c:overlap val="-27"/>
        <c:axId val="29220128"/>
        <c:axId val="29213888"/>
      </c:barChart>
      <c:catAx>
        <c:axId val="2922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mr-IN"/>
          </a:p>
        </c:txPr>
        <c:crossAx val="29213888"/>
        <c:crosses val="autoZero"/>
        <c:auto val="1"/>
        <c:lblAlgn val="ctr"/>
        <c:lblOffset val="100"/>
        <c:noMultiLvlLbl val="0"/>
      </c:catAx>
      <c:valAx>
        <c:axId val="29213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mr-IN"/>
          </a:p>
        </c:txPr>
        <c:crossAx val="29220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mr-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30480</xdr:colOff>
      <xdr:row>0</xdr:row>
      <xdr:rowOff>38100</xdr:rowOff>
    </xdr:from>
    <xdr:to>
      <xdr:col>29</xdr:col>
      <xdr:colOff>558800</xdr:colOff>
      <xdr:row>5</xdr:row>
      <xdr:rowOff>60960</xdr:rowOff>
    </xdr:to>
    <xdr:sp macro="" textlink="">
      <xdr:nvSpPr>
        <xdr:cNvPr id="2" name="Rectangle 1">
          <a:extLst>
            <a:ext uri="{FF2B5EF4-FFF2-40B4-BE49-F238E27FC236}">
              <a16:creationId xmlns:a16="http://schemas.microsoft.com/office/drawing/2014/main" id="{6A2C3F79-216F-208F-2F8A-67F51FE95745}"/>
            </a:ext>
          </a:extLst>
        </xdr:cNvPr>
        <xdr:cNvSpPr/>
      </xdr:nvSpPr>
      <xdr:spPr>
        <a:xfrm>
          <a:off x="30480" y="38100"/>
          <a:ext cx="19019520" cy="93726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r>
            <a:rPr lang="en-IN" sz="3200"/>
            <a:t>Sales Dashboard</a:t>
          </a:r>
          <a:endParaRPr lang="mr-IN" sz="3200"/>
        </a:p>
      </xdr:txBody>
    </xdr:sp>
    <xdr:clientData/>
  </xdr:twoCellAnchor>
  <xdr:twoCellAnchor>
    <xdr:from>
      <xdr:col>0</xdr:col>
      <xdr:colOff>22860</xdr:colOff>
      <xdr:row>5</xdr:row>
      <xdr:rowOff>99060</xdr:rowOff>
    </xdr:from>
    <xdr:to>
      <xdr:col>2</xdr:col>
      <xdr:colOff>15240</xdr:colOff>
      <xdr:row>74</xdr:row>
      <xdr:rowOff>53340</xdr:rowOff>
    </xdr:to>
    <xdr:sp macro="" textlink="">
      <xdr:nvSpPr>
        <xdr:cNvPr id="4" name="Rectangle 3">
          <a:extLst>
            <a:ext uri="{FF2B5EF4-FFF2-40B4-BE49-F238E27FC236}">
              <a16:creationId xmlns:a16="http://schemas.microsoft.com/office/drawing/2014/main" id="{C1960BF4-5A27-E747-CAE9-0F3ECD0AA440}"/>
            </a:ext>
          </a:extLst>
        </xdr:cNvPr>
        <xdr:cNvSpPr/>
      </xdr:nvSpPr>
      <xdr:spPr>
        <a:xfrm>
          <a:off x="22860" y="1013460"/>
          <a:ext cx="1318260" cy="125730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mr-IN" sz="1100"/>
        </a:p>
      </xdr:txBody>
    </xdr:sp>
    <xdr:clientData/>
  </xdr:twoCellAnchor>
  <xdr:twoCellAnchor>
    <xdr:from>
      <xdr:col>2</xdr:col>
      <xdr:colOff>148590</xdr:colOff>
      <xdr:row>10</xdr:row>
      <xdr:rowOff>57149</xdr:rowOff>
    </xdr:from>
    <xdr:to>
      <xdr:col>12</xdr:col>
      <xdr:colOff>82550</xdr:colOff>
      <xdr:row>25</xdr:row>
      <xdr:rowOff>111159</xdr:rowOff>
    </xdr:to>
    <xdr:graphicFrame macro="">
      <xdr:nvGraphicFramePr>
        <xdr:cNvPr id="5" name="Chart 4">
          <a:extLst>
            <a:ext uri="{FF2B5EF4-FFF2-40B4-BE49-F238E27FC236}">
              <a16:creationId xmlns:a16="http://schemas.microsoft.com/office/drawing/2014/main" id="{34111515-948B-41D4-86F4-277EBB8A7C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149225</xdr:colOff>
      <xdr:row>10</xdr:row>
      <xdr:rowOff>47387</xdr:rowOff>
    </xdr:from>
    <xdr:to>
      <xdr:col>20</xdr:col>
      <xdr:colOff>173926</xdr:colOff>
      <xdr:row>25</xdr:row>
      <xdr:rowOff>95285</xdr:rowOff>
    </xdr:to>
    <xdr:graphicFrame macro="">
      <xdr:nvGraphicFramePr>
        <xdr:cNvPr id="6" name="Chart 5">
          <a:extLst>
            <a:ext uri="{FF2B5EF4-FFF2-40B4-BE49-F238E27FC236}">
              <a16:creationId xmlns:a16="http://schemas.microsoft.com/office/drawing/2014/main" id="{0EC64A82-4DF8-4171-AEFB-95ED94EB21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174507</xdr:colOff>
      <xdr:row>26</xdr:row>
      <xdr:rowOff>55327</xdr:rowOff>
    </xdr:from>
    <xdr:to>
      <xdr:col>11</xdr:col>
      <xdr:colOff>129373</xdr:colOff>
      <xdr:row>43</xdr:row>
      <xdr:rowOff>161924</xdr:rowOff>
    </xdr:to>
    <xdr:graphicFrame macro="">
      <xdr:nvGraphicFramePr>
        <xdr:cNvPr id="7" name="Chart 6">
          <a:extLst>
            <a:ext uri="{FF2B5EF4-FFF2-40B4-BE49-F238E27FC236}">
              <a16:creationId xmlns:a16="http://schemas.microsoft.com/office/drawing/2014/main" id="{83041C5D-AD02-4855-80AE-AD3912538B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238230</xdr:colOff>
      <xdr:row>26</xdr:row>
      <xdr:rowOff>7222</xdr:rowOff>
    </xdr:from>
    <xdr:to>
      <xdr:col>20</xdr:col>
      <xdr:colOff>520700</xdr:colOff>
      <xdr:row>44</xdr:row>
      <xdr:rowOff>32343</xdr:rowOff>
    </xdr:to>
    <xdr:graphicFrame macro="">
      <xdr:nvGraphicFramePr>
        <xdr:cNvPr id="8" name="Chart 7">
          <a:extLst>
            <a:ext uri="{FF2B5EF4-FFF2-40B4-BE49-F238E27FC236}">
              <a16:creationId xmlns:a16="http://schemas.microsoft.com/office/drawing/2014/main" id="{86397D07-831B-4267-9D32-FF2A6FAD38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12</xdr:row>
      <xdr:rowOff>65780</xdr:rowOff>
    </xdr:from>
    <xdr:to>
      <xdr:col>1</xdr:col>
      <xdr:colOff>576543</xdr:colOff>
      <xdr:row>25</xdr:row>
      <xdr:rowOff>63875</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0F854A36-9793-656D-502F-BD6054F59D6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260340"/>
              <a:ext cx="1297903" cy="2375535"/>
            </a:xfrm>
            <a:prstGeom prst="rect">
              <a:avLst/>
            </a:prstGeom>
            <a:solidFill>
              <a:prstClr val="white"/>
            </a:solidFill>
            <a:ln w="1">
              <a:solidFill>
                <a:prstClr val="green"/>
              </a:solidFill>
            </a:ln>
          </xdr:spPr>
          <xdr:txBody>
            <a:bodyPr vertOverflow="clip" horzOverflow="clip"/>
            <a:lstStyle/>
            <a:p>
              <a:r>
                <a:rPr lang="mr-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257175</xdr:colOff>
      <xdr:row>16</xdr:row>
      <xdr:rowOff>131445</xdr:rowOff>
    </xdr:from>
    <xdr:to>
      <xdr:col>26</xdr:col>
      <xdr:colOff>57150</xdr:colOff>
      <xdr:row>25</xdr:row>
      <xdr:rowOff>85725</xdr:rowOff>
    </xdr:to>
    <mc:AlternateContent xmlns:mc="http://schemas.openxmlformats.org/markup-compatibility/2006">
      <mc:Choice xmlns:tsle="http://schemas.microsoft.com/office/drawing/2012/timeslicer" Requires="tsle">
        <xdr:graphicFrame macro="">
          <xdr:nvGraphicFramePr>
            <xdr:cNvPr id="13" name="Date">
              <a:extLst>
                <a:ext uri="{FF2B5EF4-FFF2-40B4-BE49-F238E27FC236}">
                  <a16:creationId xmlns:a16="http://schemas.microsoft.com/office/drawing/2014/main" id="{BB903097-B13A-02A9-D69A-0CD9D77F8541}"/>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3261975" y="3057525"/>
              <a:ext cx="3457575" cy="1600200"/>
            </a:xfrm>
            <a:prstGeom prst="rect">
              <a:avLst/>
            </a:prstGeom>
            <a:solidFill>
              <a:prstClr val="white"/>
            </a:solidFill>
            <a:ln w="1">
              <a:solidFill>
                <a:prstClr val="green"/>
              </a:solidFill>
            </a:ln>
          </xdr:spPr>
          <xdr:txBody>
            <a:bodyPr vertOverflow="clip" horzOverflow="clip"/>
            <a:lstStyle/>
            <a:p>
              <a:r>
                <a:rPr lang="mr-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777240</xdr:colOff>
      <xdr:row>0</xdr:row>
      <xdr:rowOff>19050</xdr:rowOff>
    </xdr:from>
    <xdr:to>
      <xdr:col>8</xdr:col>
      <xdr:colOff>441960</xdr:colOff>
      <xdr:row>15</xdr:row>
      <xdr:rowOff>19050</xdr:rowOff>
    </xdr:to>
    <xdr:graphicFrame macro="">
      <xdr:nvGraphicFramePr>
        <xdr:cNvPr id="2" name="Chart 1">
          <a:extLst>
            <a:ext uri="{FF2B5EF4-FFF2-40B4-BE49-F238E27FC236}">
              <a16:creationId xmlns:a16="http://schemas.microsoft.com/office/drawing/2014/main" id="{89953700-5841-A6DB-6AB2-F3BB4A90F2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370840</xdr:colOff>
      <xdr:row>17</xdr:row>
      <xdr:rowOff>6350</xdr:rowOff>
    </xdr:from>
    <xdr:to>
      <xdr:col>8</xdr:col>
      <xdr:colOff>35560</xdr:colOff>
      <xdr:row>32</xdr:row>
      <xdr:rowOff>6350</xdr:rowOff>
    </xdr:to>
    <xdr:graphicFrame macro="">
      <xdr:nvGraphicFramePr>
        <xdr:cNvPr id="3" name="Chart 2">
          <a:extLst>
            <a:ext uri="{FF2B5EF4-FFF2-40B4-BE49-F238E27FC236}">
              <a16:creationId xmlns:a16="http://schemas.microsoft.com/office/drawing/2014/main" id="{D2523E62-4C96-F691-DC75-4E8A0913E7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56147</xdr:colOff>
      <xdr:row>1</xdr:row>
      <xdr:rowOff>50513</xdr:rowOff>
    </xdr:from>
    <xdr:to>
      <xdr:col>18</xdr:col>
      <xdr:colOff>360947</xdr:colOff>
      <xdr:row>16</xdr:row>
      <xdr:rowOff>26451</xdr:rowOff>
    </xdr:to>
    <xdr:graphicFrame macro="">
      <xdr:nvGraphicFramePr>
        <xdr:cNvPr id="5" name="Chart 4">
          <a:extLst>
            <a:ext uri="{FF2B5EF4-FFF2-40B4-BE49-F238E27FC236}">
              <a16:creationId xmlns:a16="http://schemas.microsoft.com/office/drawing/2014/main" id="{D1704D6A-0CB4-6367-FD44-D5C8654338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244929</xdr:colOff>
      <xdr:row>18</xdr:row>
      <xdr:rowOff>1</xdr:rowOff>
    </xdr:from>
    <xdr:to>
      <xdr:col>18</xdr:col>
      <xdr:colOff>577424</xdr:colOff>
      <xdr:row>32</xdr:row>
      <xdr:rowOff>162844</xdr:rowOff>
    </xdr:to>
    <xdr:graphicFrame macro="">
      <xdr:nvGraphicFramePr>
        <xdr:cNvPr id="6" name="Chart 5">
          <a:extLst>
            <a:ext uri="{FF2B5EF4-FFF2-40B4-BE49-F238E27FC236}">
              <a16:creationId xmlns:a16="http://schemas.microsoft.com/office/drawing/2014/main" id="{2B1CD2C7-5BDE-476B-A62D-60EF685670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sha chaudhari" refreshedDate="46171.834935763887" createdVersion="8" refreshedVersion="8" minRefreshableVersion="3" recordCount="250" xr:uid="{23B748C4-6722-40AE-B08C-9189FBFFFC4C}">
  <cacheSource type="worksheet">
    <worksheetSource ref="A2:N252" sheet="Final Project Dataset"/>
  </cacheSource>
  <cacheFields count="17">
    <cacheField name="Transaction_ID" numFmtId="0">
      <sharedItems/>
    </cacheField>
    <cacheField name="Date" numFmtId="16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fieldGroup par="16"/>
    </cacheField>
    <cacheField name="Customer_ID" numFmtId="0">
      <sharedItems/>
    </cacheField>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6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 name="Months (Date)" numFmtId="0" databaseField="0">
      <fieldGroup base="1">
        <rangePr groupBy="months" startDate="2024-04-11T00:00:00" endDate="2025-04-12T00:00:00"/>
        <groupItems count="14">
          <s v="&lt;11-04-2024"/>
          <s v="Jan"/>
          <s v="Feb"/>
          <s v="Mar"/>
          <s v="Apr"/>
          <s v="May"/>
          <s v="Jun"/>
          <s v="Jul"/>
          <s v="Aug"/>
          <s v="Sep"/>
          <s v="Oct"/>
          <s v="Nov"/>
          <s v="Dec"/>
          <s v="&gt;12-04-2025"/>
        </groupItems>
      </fieldGroup>
    </cacheField>
    <cacheField name="Quarters (Date)" numFmtId="0" databaseField="0">
      <fieldGroup base="1">
        <rangePr groupBy="quarters" startDate="2024-04-11T00:00:00" endDate="2025-04-12T00:00:00"/>
        <groupItems count="6">
          <s v="&lt;11-04-2024"/>
          <s v="Qtr1"/>
          <s v="Qtr2"/>
          <s v="Qtr3"/>
          <s v="Qtr4"/>
          <s v="&gt;12-04-2025"/>
        </groupItems>
      </fieldGroup>
    </cacheField>
    <cacheField name="Years (Date)" numFmtId="0" databaseField="0">
      <fieldGroup base="1">
        <rangePr groupBy="years" startDate="2024-04-11T00:00:00" endDate="2025-04-12T00:00:00"/>
        <groupItems count="4">
          <s v="&lt;11-04-2024"/>
          <s v="2024"/>
          <s v="2025"/>
          <s v="&gt;12-04-2025"/>
        </groupItems>
      </fieldGroup>
    </cacheField>
  </cacheFields>
  <extLst>
    <ext xmlns:x14="http://schemas.microsoft.com/office/spreadsheetml/2009/9/main" uri="{725AE2AE-9491-48be-B2B4-4EB974FC3084}">
      <x14:pivotCacheDefinition pivotCacheId="3836294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23"/>
    <x v="0"/>
    <s v="P009"/>
    <x v="0"/>
    <x v="0"/>
    <n v="3"/>
    <n v="249.99"/>
    <s v="Cash"/>
    <x v="0"/>
    <x v="0"/>
    <d v="2021-08-17T00:00:00"/>
    <n v="749.97"/>
  </r>
  <r>
    <s v="TRX0023"/>
    <x v="1"/>
    <s v="CUST013"/>
    <x v="1"/>
    <s v="P009"/>
    <x v="0"/>
    <x v="0"/>
    <n v="3"/>
    <n v="249.99"/>
    <s v="Credit Card"/>
    <x v="0"/>
    <x v="1"/>
    <d v="2022-01-14T00:00:00"/>
    <n v="749.97"/>
  </r>
  <r>
    <s v="TRX0139"/>
    <x v="2"/>
    <s v="CUST021"/>
    <x v="2"/>
    <s v="P005"/>
    <x v="1"/>
    <x v="1"/>
    <n v="3"/>
    <n v="59.99"/>
    <s v="PayPal"/>
    <x v="1"/>
    <x v="2"/>
    <d v="2023-12-02T00:00:00"/>
    <n v="179.97"/>
  </r>
  <r>
    <s v="TRX0043"/>
    <x v="3"/>
    <s v="CUST046"/>
    <x v="3"/>
    <s v="P005"/>
    <x v="1"/>
    <x v="1"/>
    <n v="3"/>
    <n v="59.99"/>
    <s v="Cash"/>
    <x v="2"/>
    <x v="1"/>
    <d v="2023-07-07T00:00:00"/>
    <n v="179.97"/>
  </r>
  <r>
    <s v="TRX0212"/>
    <x v="3"/>
    <s v="CUST003"/>
    <x v="4"/>
    <s v="P008"/>
    <x v="2"/>
    <x v="2"/>
    <n v="5"/>
    <n v="149.99"/>
    <s v="Credit Card"/>
    <x v="2"/>
    <x v="1"/>
    <d v="2024-01-04T00:00:00"/>
    <n v="749.95"/>
  </r>
  <r>
    <s v="TRX0092"/>
    <x v="4"/>
    <s v="CUST024"/>
    <x v="5"/>
    <s v="P005"/>
    <x v="1"/>
    <x v="1"/>
    <n v="2"/>
    <n v="59.99"/>
    <s v="Cash"/>
    <x v="3"/>
    <x v="2"/>
    <d v="2022-07-04T00:00:00"/>
    <n v="119.98"/>
  </r>
  <r>
    <s v="TRX0193"/>
    <x v="4"/>
    <s v="CUST024"/>
    <x v="5"/>
    <s v="P003"/>
    <x v="3"/>
    <x v="0"/>
    <n v="5"/>
    <n v="149.99"/>
    <s v="Credit Card"/>
    <x v="0"/>
    <x v="2"/>
    <d v="2021-08-10T00:00:00"/>
    <n v="749.95"/>
  </r>
  <r>
    <s v="TRX0240"/>
    <x v="4"/>
    <s v="CUST017"/>
    <x v="6"/>
    <s v="P005"/>
    <x v="1"/>
    <x v="1"/>
    <n v="3"/>
    <n v="59.99"/>
    <s v="Debit Card"/>
    <x v="1"/>
    <x v="0"/>
    <d v="2023-03-22T00:00:00"/>
    <n v="179.97"/>
  </r>
  <r>
    <s v="TRX0135"/>
    <x v="5"/>
    <s v="CUST009"/>
    <x v="7"/>
    <s v="P001"/>
    <x v="4"/>
    <x v="0"/>
    <n v="3"/>
    <n v="899.99"/>
    <s v="PayPal"/>
    <x v="4"/>
    <x v="2"/>
    <d v="2024-01-08T00:00:00"/>
    <n v="2699.97"/>
  </r>
  <r>
    <s v="TRX0185"/>
    <x v="6"/>
    <s v="CUST026"/>
    <x v="8"/>
    <s v="P005"/>
    <x v="1"/>
    <x v="1"/>
    <n v="3"/>
    <n v="59.99"/>
    <s v="Cash"/>
    <x v="3"/>
    <x v="1"/>
    <d v="2023-10-08T00:00:00"/>
    <n v="179.97"/>
  </r>
  <r>
    <s v="TRX0138"/>
    <x v="6"/>
    <s v="CUST022"/>
    <x v="9"/>
    <s v="P008"/>
    <x v="2"/>
    <x v="2"/>
    <n v="1"/>
    <n v="149.99"/>
    <s v="Credit Card"/>
    <x v="3"/>
    <x v="2"/>
    <d v="2023-06-26T00:00:00"/>
    <n v="149.99"/>
  </r>
  <r>
    <s v="TRX0209"/>
    <x v="6"/>
    <s v="CUST046"/>
    <x v="3"/>
    <s v="P008"/>
    <x v="2"/>
    <x v="2"/>
    <n v="5"/>
    <n v="149.99"/>
    <s v="Debit Card"/>
    <x v="2"/>
    <x v="0"/>
    <d v="2022-09-26T00:00:00"/>
    <n v="749.95"/>
  </r>
  <r>
    <s v="TRX0246"/>
    <x v="6"/>
    <s v="CUST041"/>
    <x v="10"/>
    <s v="P008"/>
    <x v="2"/>
    <x v="2"/>
    <n v="3"/>
    <n v="149.99"/>
    <s v="Cash"/>
    <x v="2"/>
    <x v="1"/>
    <d v="2022-09-02T00:00:00"/>
    <n v="449.97"/>
  </r>
  <r>
    <s v="TRX0067"/>
    <x v="7"/>
    <s v="CUST043"/>
    <x v="11"/>
    <s v="P005"/>
    <x v="1"/>
    <x v="1"/>
    <n v="3"/>
    <n v="59.99"/>
    <s v="Credit Card"/>
    <x v="2"/>
    <x v="2"/>
    <d v="2024-02-29T00:00:00"/>
    <n v="179.97"/>
  </r>
  <r>
    <s v="TRX0191"/>
    <x v="7"/>
    <s v="CUST038"/>
    <x v="12"/>
    <s v="P002"/>
    <x v="5"/>
    <x v="0"/>
    <n v="3"/>
    <n v="699.99"/>
    <s v="Credit Card"/>
    <x v="3"/>
    <x v="0"/>
    <d v="2022-01-16T00:00:00"/>
    <n v="2099.9699999999998"/>
  </r>
  <r>
    <s v="TRX0230"/>
    <x v="7"/>
    <s v="CUST027"/>
    <x v="13"/>
    <s v="P001"/>
    <x v="4"/>
    <x v="0"/>
    <n v="1"/>
    <n v="899.99"/>
    <s v="Debit Card"/>
    <x v="2"/>
    <x v="2"/>
    <d v="2022-12-25T00:00:00"/>
    <n v="899.99"/>
  </r>
  <r>
    <s v="TRX0049"/>
    <x v="8"/>
    <s v="CUST025"/>
    <x v="14"/>
    <s v="P008"/>
    <x v="2"/>
    <x v="2"/>
    <n v="4"/>
    <n v="149.99"/>
    <s v="Debit Card"/>
    <x v="2"/>
    <x v="1"/>
    <d v="2024-03-23T00:00:00"/>
    <n v="599.96"/>
  </r>
  <r>
    <s v="TRX0134"/>
    <x v="8"/>
    <s v="CUST010"/>
    <x v="15"/>
    <s v="P002"/>
    <x v="5"/>
    <x v="0"/>
    <n v="2"/>
    <n v="699.99"/>
    <s v="Cash"/>
    <x v="2"/>
    <x v="0"/>
    <d v="2022-08-08T00:00:00"/>
    <n v="1399.98"/>
  </r>
  <r>
    <s v="TRX0122"/>
    <x v="8"/>
    <s v="CUST025"/>
    <x v="14"/>
    <s v="P001"/>
    <x v="4"/>
    <x v="0"/>
    <n v="4"/>
    <n v="899.99"/>
    <s v="Credit Card"/>
    <x v="3"/>
    <x v="2"/>
    <d v="2024-02-05T00:00:00"/>
    <n v="3599.96"/>
  </r>
  <r>
    <s v="TRX0222"/>
    <x v="8"/>
    <s v="CUST048"/>
    <x v="16"/>
    <s v="P009"/>
    <x v="0"/>
    <x v="0"/>
    <n v="3"/>
    <n v="249.99"/>
    <s v="Credit Card"/>
    <x v="2"/>
    <x v="1"/>
    <d v="2023-10-25T00:00:00"/>
    <n v="749.97"/>
  </r>
  <r>
    <s v="TRX0231"/>
    <x v="9"/>
    <s v="CUST018"/>
    <x v="17"/>
    <s v="P002"/>
    <x v="5"/>
    <x v="0"/>
    <n v="5"/>
    <n v="699.99"/>
    <s v="Cash"/>
    <x v="3"/>
    <x v="0"/>
    <d v="2023-08-29T00:00:00"/>
    <n v="3499.95"/>
  </r>
  <r>
    <s v="TRX0239"/>
    <x v="10"/>
    <s v="CUST012"/>
    <x v="18"/>
    <s v="P002"/>
    <x v="5"/>
    <x v="0"/>
    <n v="4"/>
    <n v="699.99"/>
    <s v="Cash"/>
    <x v="4"/>
    <x v="2"/>
    <d v="2021-08-01T00:00:00"/>
    <n v="2799.96"/>
  </r>
  <r>
    <s v="TRX0204"/>
    <x v="11"/>
    <s v="CUST044"/>
    <x v="19"/>
    <s v="P009"/>
    <x v="0"/>
    <x v="0"/>
    <n v="4"/>
    <n v="249.99"/>
    <s v="PayPal"/>
    <x v="2"/>
    <x v="2"/>
    <d v="2021-09-29T00:00:00"/>
    <n v="999.96"/>
  </r>
  <r>
    <s v="TRX0242"/>
    <x v="12"/>
    <s v="CUST025"/>
    <x v="14"/>
    <s v="P007"/>
    <x v="6"/>
    <x v="2"/>
    <n v="4"/>
    <n v="299.99"/>
    <s v="Cash"/>
    <x v="3"/>
    <x v="1"/>
    <d v="2022-06-04T00:00:00"/>
    <n v="1199.96"/>
  </r>
  <r>
    <s v="TRX0071"/>
    <x v="13"/>
    <s v="CUST036"/>
    <x v="20"/>
    <s v="P009"/>
    <x v="0"/>
    <x v="0"/>
    <n v="5"/>
    <n v="249.99"/>
    <s v="Credit Card"/>
    <x v="3"/>
    <x v="2"/>
    <d v="2021-11-25T00:00:00"/>
    <n v="1249.95"/>
  </r>
  <r>
    <s v="TRX0040"/>
    <x v="14"/>
    <s v="CUST022"/>
    <x v="9"/>
    <s v="P007"/>
    <x v="6"/>
    <x v="2"/>
    <n v="5"/>
    <n v="299.99"/>
    <s v="PayPal"/>
    <x v="4"/>
    <x v="0"/>
    <d v="2023-08-30T00:00:00"/>
    <n v="1499.95"/>
  </r>
  <r>
    <s v="TRX0235"/>
    <x v="14"/>
    <s v="CUST014"/>
    <x v="21"/>
    <s v="P004"/>
    <x v="7"/>
    <x v="1"/>
    <n v="3"/>
    <n v="79.989999999999995"/>
    <s v="PayPal"/>
    <x v="4"/>
    <x v="1"/>
    <d v="2023-03-27T00:00:00"/>
    <n v="239.97"/>
  </r>
  <r>
    <s v="TRX0004"/>
    <x v="14"/>
    <s v="CUST012"/>
    <x v="18"/>
    <s v="P010"/>
    <x v="8"/>
    <x v="0"/>
    <n v="5"/>
    <n v="89.99"/>
    <s v="Cash"/>
    <x v="2"/>
    <x v="1"/>
    <d v="2022-12-24T00:00:00"/>
    <n v="449.95"/>
  </r>
  <r>
    <s v="TRX0063"/>
    <x v="15"/>
    <s v="CUST030"/>
    <x v="22"/>
    <s v="P005"/>
    <x v="1"/>
    <x v="1"/>
    <n v="2"/>
    <n v="59.99"/>
    <s v="Debit Card"/>
    <x v="0"/>
    <x v="2"/>
    <d v="2023-10-15T00:00:00"/>
    <n v="119.98"/>
  </r>
  <r>
    <s v="TRX0241"/>
    <x v="16"/>
    <s v="CUST029"/>
    <x v="23"/>
    <s v="P005"/>
    <x v="1"/>
    <x v="1"/>
    <n v="4"/>
    <n v="59.99"/>
    <s v="Debit Card"/>
    <x v="4"/>
    <x v="2"/>
    <d v="2022-11-02T00:00:00"/>
    <n v="239.96"/>
  </r>
  <r>
    <s v="TRX0029"/>
    <x v="16"/>
    <s v="CUST017"/>
    <x v="6"/>
    <s v="P006"/>
    <x v="9"/>
    <x v="2"/>
    <n v="5"/>
    <n v="199.99"/>
    <s v="Cash"/>
    <x v="1"/>
    <x v="2"/>
    <d v="2021-08-04T00:00:00"/>
    <n v="999.95"/>
  </r>
  <r>
    <s v="TRX0194"/>
    <x v="17"/>
    <s v="CUST006"/>
    <x v="24"/>
    <s v="P008"/>
    <x v="2"/>
    <x v="2"/>
    <n v="2"/>
    <n v="149.99"/>
    <s v="Credit Card"/>
    <x v="3"/>
    <x v="0"/>
    <d v="2022-09-19T00:00:00"/>
    <n v="299.98"/>
  </r>
  <r>
    <s v="TRX0130"/>
    <x v="18"/>
    <s v="CUST002"/>
    <x v="25"/>
    <s v="P008"/>
    <x v="2"/>
    <x v="2"/>
    <n v="3"/>
    <n v="149.99"/>
    <s v="Credit Card"/>
    <x v="3"/>
    <x v="1"/>
    <d v="2023-05-22T00:00:00"/>
    <n v="449.97"/>
  </r>
  <r>
    <s v="TRX0041"/>
    <x v="19"/>
    <s v="CUST021"/>
    <x v="2"/>
    <s v="P001"/>
    <x v="4"/>
    <x v="0"/>
    <n v="1"/>
    <n v="899.99"/>
    <s v="Credit Card"/>
    <x v="3"/>
    <x v="1"/>
    <d v="2022-01-17T00:00:00"/>
    <n v="899.99"/>
  </r>
  <r>
    <s v="TRX0232"/>
    <x v="20"/>
    <s v="CUST012"/>
    <x v="18"/>
    <s v="P007"/>
    <x v="6"/>
    <x v="2"/>
    <n v="3"/>
    <n v="299.99"/>
    <s v="Credit Card"/>
    <x v="4"/>
    <x v="0"/>
    <d v="2022-09-20T00:00:00"/>
    <n v="899.97"/>
  </r>
  <r>
    <s v="TRX0021"/>
    <x v="21"/>
    <s v="CUST006"/>
    <x v="24"/>
    <s v="P004"/>
    <x v="7"/>
    <x v="1"/>
    <n v="3"/>
    <n v="79.989999999999995"/>
    <s v="Cash"/>
    <x v="1"/>
    <x v="0"/>
    <d v="2023-04-30T00:00:00"/>
    <n v="239.97"/>
  </r>
  <r>
    <s v="TRX0245"/>
    <x v="22"/>
    <s v="CUST031"/>
    <x v="26"/>
    <s v="P006"/>
    <x v="9"/>
    <x v="2"/>
    <n v="3"/>
    <n v="199.99"/>
    <s v="Credit Card"/>
    <x v="2"/>
    <x v="1"/>
    <d v="2024-01-01T00:00:00"/>
    <n v="599.97"/>
  </r>
  <r>
    <s v="TRX0015"/>
    <x v="23"/>
    <s v="CUST008"/>
    <x v="27"/>
    <s v="P002"/>
    <x v="5"/>
    <x v="0"/>
    <n v="5"/>
    <n v="699.99"/>
    <s v="PayPal"/>
    <x v="3"/>
    <x v="2"/>
    <d v="2021-07-30T00:00:00"/>
    <n v="3499.95"/>
  </r>
  <r>
    <s v="TRX0202"/>
    <x v="24"/>
    <s v="CUST035"/>
    <x v="28"/>
    <s v="P010"/>
    <x v="8"/>
    <x v="0"/>
    <n v="3"/>
    <n v="89.99"/>
    <s v="PayPal"/>
    <x v="0"/>
    <x v="1"/>
    <d v="2023-07-13T00:00:00"/>
    <n v="269.97000000000003"/>
  </r>
  <r>
    <s v="TRX0042"/>
    <x v="25"/>
    <s v="CUST019"/>
    <x v="29"/>
    <s v="P004"/>
    <x v="7"/>
    <x v="1"/>
    <n v="1"/>
    <n v="79.989999999999995"/>
    <s v="Cash"/>
    <x v="2"/>
    <x v="2"/>
    <d v="2022-12-22T00:00:00"/>
    <n v="79.989999999999995"/>
  </r>
  <r>
    <s v="TRX0128"/>
    <x v="26"/>
    <s v="CUST040"/>
    <x v="30"/>
    <s v="P005"/>
    <x v="1"/>
    <x v="1"/>
    <n v="2"/>
    <n v="59.99"/>
    <s v="Cash"/>
    <x v="3"/>
    <x v="0"/>
    <d v="2024-04-08T00:00:00"/>
    <n v="119.98"/>
  </r>
  <r>
    <s v="TRX0117"/>
    <x v="26"/>
    <s v="CUST017"/>
    <x v="6"/>
    <s v="P010"/>
    <x v="8"/>
    <x v="0"/>
    <n v="1"/>
    <n v="89.99"/>
    <s v="Cash"/>
    <x v="2"/>
    <x v="0"/>
    <d v="2023-08-03T00:00:00"/>
    <n v="89.99"/>
  </r>
  <r>
    <s v="TRX0208"/>
    <x v="27"/>
    <s v="CUST004"/>
    <x v="31"/>
    <s v="P010"/>
    <x v="8"/>
    <x v="0"/>
    <n v="5"/>
    <n v="89.99"/>
    <s v="Credit Card"/>
    <x v="4"/>
    <x v="2"/>
    <d v="2022-01-26T00:00:00"/>
    <n v="449.95"/>
  </r>
  <r>
    <s v="TRX0234"/>
    <x v="28"/>
    <s v="CUST013"/>
    <x v="1"/>
    <s v="P009"/>
    <x v="0"/>
    <x v="0"/>
    <n v="5"/>
    <n v="249.99"/>
    <s v="Credit Card"/>
    <x v="4"/>
    <x v="2"/>
    <d v="2022-05-26T00:00:00"/>
    <n v="1249.95"/>
  </r>
  <r>
    <s v="TRX0121"/>
    <x v="28"/>
    <s v="CUST028"/>
    <x v="32"/>
    <s v="P010"/>
    <x v="8"/>
    <x v="0"/>
    <n v="1"/>
    <n v="89.99"/>
    <s v="Credit Card"/>
    <x v="1"/>
    <x v="2"/>
    <d v="2022-01-21T00:00:00"/>
    <n v="89.99"/>
  </r>
  <r>
    <s v="TRX0220"/>
    <x v="29"/>
    <s v="CUST003"/>
    <x v="4"/>
    <s v="P008"/>
    <x v="2"/>
    <x v="2"/>
    <n v="2"/>
    <n v="149.99"/>
    <s v="Cash"/>
    <x v="4"/>
    <x v="1"/>
    <d v="2022-03-25T00:00:00"/>
    <n v="299.98"/>
  </r>
  <r>
    <s v="TRX0093"/>
    <x v="30"/>
    <s v="CUST050"/>
    <x v="33"/>
    <s v="P005"/>
    <x v="1"/>
    <x v="1"/>
    <n v="4"/>
    <n v="59.99"/>
    <s v="Cash"/>
    <x v="4"/>
    <x v="2"/>
    <d v="2021-08-27T00:00:00"/>
    <n v="239.96"/>
  </r>
  <r>
    <s v="TRX0088"/>
    <x v="31"/>
    <s v="CUST006"/>
    <x v="24"/>
    <s v="P010"/>
    <x v="8"/>
    <x v="0"/>
    <n v="5"/>
    <n v="89.99"/>
    <s v="Cash"/>
    <x v="0"/>
    <x v="1"/>
    <d v="2022-01-18T00:00:00"/>
    <n v="449.95"/>
  </r>
  <r>
    <s v="TRX0115"/>
    <x v="32"/>
    <s v="CUST012"/>
    <x v="18"/>
    <s v="P010"/>
    <x v="8"/>
    <x v="0"/>
    <n v="2"/>
    <n v="89.99"/>
    <s v="Credit Card"/>
    <x v="1"/>
    <x v="1"/>
    <d v="2021-10-02T00:00:00"/>
    <n v="179.98"/>
  </r>
  <r>
    <s v="TRX0154"/>
    <x v="32"/>
    <s v="CUST023"/>
    <x v="0"/>
    <s v="P001"/>
    <x v="4"/>
    <x v="0"/>
    <n v="5"/>
    <n v="899.99"/>
    <s v="Credit Card"/>
    <x v="1"/>
    <x v="2"/>
    <d v="2023-02-17T00:00:00"/>
    <n v="4499.95"/>
  </r>
  <r>
    <s v="TRX0044"/>
    <x v="32"/>
    <s v="CUST029"/>
    <x v="23"/>
    <s v="P001"/>
    <x v="4"/>
    <x v="0"/>
    <n v="5"/>
    <n v="899.99"/>
    <s v="PayPal"/>
    <x v="4"/>
    <x v="1"/>
    <d v="2023-12-18T00:00:00"/>
    <n v="4499.95"/>
  </r>
  <r>
    <s v="TRX0061"/>
    <x v="33"/>
    <s v="CUST028"/>
    <x v="32"/>
    <s v="P005"/>
    <x v="1"/>
    <x v="1"/>
    <n v="1"/>
    <n v="59.99"/>
    <s v="Debit Card"/>
    <x v="3"/>
    <x v="1"/>
    <d v="2023-09-21T00:00:00"/>
    <n v="59.99"/>
  </r>
  <r>
    <s v="TRX0150"/>
    <x v="33"/>
    <s v="CUST008"/>
    <x v="27"/>
    <s v="P007"/>
    <x v="6"/>
    <x v="2"/>
    <n v="2"/>
    <n v="299.99"/>
    <s v="Debit Card"/>
    <x v="4"/>
    <x v="2"/>
    <d v="2023-11-23T00:00:00"/>
    <n v="599.98"/>
  </r>
  <r>
    <s v="TRX0025"/>
    <x v="34"/>
    <s v="CUST049"/>
    <x v="34"/>
    <s v="P010"/>
    <x v="8"/>
    <x v="0"/>
    <n v="4"/>
    <n v="89.99"/>
    <s v="Debit Card"/>
    <x v="1"/>
    <x v="0"/>
    <d v="2023-12-21T00:00:00"/>
    <n v="359.96"/>
  </r>
  <r>
    <s v="TRX0078"/>
    <x v="35"/>
    <s v="CUST021"/>
    <x v="2"/>
    <s v="P004"/>
    <x v="7"/>
    <x v="1"/>
    <n v="1"/>
    <n v="79.989999999999995"/>
    <s v="PayPal"/>
    <x v="0"/>
    <x v="1"/>
    <d v="2024-03-01T00:00:00"/>
    <n v="79.989999999999995"/>
  </r>
  <r>
    <s v="TRX0007"/>
    <x v="35"/>
    <s v="CUST009"/>
    <x v="7"/>
    <s v="P010"/>
    <x v="8"/>
    <x v="0"/>
    <n v="2"/>
    <n v="89.99"/>
    <s v="Cash"/>
    <x v="3"/>
    <x v="0"/>
    <d v="2021-08-30T00:00:00"/>
    <n v="179.98"/>
  </r>
  <r>
    <s v="TRX0184"/>
    <x v="36"/>
    <s v="CUST046"/>
    <x v="3"/>
    <s v="P002"/>
    <x v="5"/>
    <x v="0"/>
    <n v="3"/>
    <n v="699.99"/>
    <s v="Credit Card"/>
    <x v="4"/>
    <x v="1"/>
    <d v="2023-06-25T00:00:00"/>
    <n v="2099.9699999999998"/>
  </r>
  <r>
    <s v="TRX0104"/>
    <x v="36"/>
    <s v="CUST012"/>
    <x v="18"/>
    <s v="P001"/>
    <x v="4"/>
    <x v="0"/>
    <n v="4"/>
    <n v="899.99"/>
    <s v="Credit Card"/>
    <x v="4"/>
    <x v="1"/>
    <d v="2023-03-08T00:00:00"/>
    <n v="3599.96"/>
  </r>
  <r>
    <s v="TRX0127"/>
    <x v="37"/>
    <s v="CUST030"/>
    <x v="22"/>
    <s v="P008"/>
    <x v="2"/>
    <x v="2"/>
    <n v="1"/>
    <n v="149.99"/>
    <s v="PayPal"/>
    <x v="4"/>
    <x v="0"/>
    <d v="2022-10-17T00:00:00"/>
    <n v="149.99"/>
  </r>
  <r>
    <s v="TRX0096"/>
    <x v="38"/>
    <s v="CUST002"/>
    <x v="25"/>
    <s v="P010"/>
    <x v="8"/>
    <x v="0"/>
    <n v="2"/>
    <n v="89.99"/>
    <s v="PayPal"/>
    <x v="0"/>
    <x v="1"/>
    <d v="2023-12-15T00:00:00"/>
    <n v="179.98"/>
  </r>
  <r>
    <s v="TRX0192"/>
    <x v="39"/>
    <s v="CUST017"/>
    <x v="6"/>
    <s v="P010"/>
    <x v="8"/>
    <x v="0"/>
    <n v="1"/>
    <n v="89.99"/>
    <s v="PayPal"/>
    <x v="3"/>
    <x v="2"/>
    <d v="2022-08-29T00:00:00"/>
    <n v="89.99"/>
  </r>
  <r>
    <s v="TRX0052"/>
    <x v="40"/>
    <s v="CUST022"/>
    <x v="9"/>
    <s v="P010"/>
    <x v="8"/>
    <x v="0"/>
    <n v="1"/>
    <n v="89.99"/>
    <s v="Cash"/>
    <x v="1"/>
    <x v="2"/>
    <d v="2022-02-19T00:00:00"/>
    <n v="89.99"/>
  </r>
  <r>
    <s v="TRX0070"/>
    <x v="40"/>
    <s v="CUST007"/>
    <x v="35"/>
    <s v="P004"/>
    <x v="7"/>
    <x v="1"/>
    <n v="5"/>
    <n v="79.989999999999995"/>
    <s v="Debit Card"/>
    <x v="0"/>
    <x v="0"/>
    <d v="2023-02-24T00:00:00"/>
    <n v="399.95"/>
  </r>
  <r>
    <s v="TRX0086"/>
    <x v="41"/>
    <s v="CUST020"/>
    <x v="36"/>
    <s v="P008"/>
    <x v="2"/>
    <x v="2"/>
    <n v="1"/>
    <n v="149.99"/>
    <s v="PayPal"/>
    <x v="2"/>
    <x v="0"/>
    <d v="2021-08-13T00:00:00"/>
    <n v="149.99"/>
  </r>
  <r>
    <s v="TRX0113"/>
    <x v="41"/>
    <s v="CUST003"/>
    <x v="4"/>
    <s v="P002"/>
    <x v="5"/>
    <x v="0"/>
    <n v="2"/>
    <n v="699.99"/>
    <s v="PayPal"/>
    <x v="4"/>
    <x v="1"/>
    <d v="2024-04-07T00:00:00"/>
    <n v="1399.98"/>
  </r>
  <r>
    <s v="TRX0114"/>
    <x v="41"/>
    <s v="CUST018"/>
    <x v="17"/>
    <s v="P010"/>
    <x v="8"/>
    <x v="0"/>
    <n v="5"/>
    <n v="89.99"/>
    <s v="Debit Card"/>
    <x v="2"/>
    <x v="1"/>
    <d v="2023-08-23T00:00:00"/>
    <n v="449.95"/>
  </r>
  <r>
    <s v="TRX0136"/>
    <x v="42"/>
    <s v="CUST049"/>
    <x v="34"/>
    <s v="P005"/>
    <x v="1"/>
    <x v="1"/>
    <n v="4"/>
    <n v="59.99"/>
    <s v="Cash"/>
    <x v="1"/>
    <x v="2"/>
    <d v="2021-11-09T00:00:00"/>
    <n v="239.96"/>
  </r>
  <r>
    <s v="TRX0018"/>
    <x v="43"/>
    <s v="CUST013"/>
    <x v="1"/>
    <s v="P003"/>
    <x v="3"/>
    <x v="0"/>
    <n v="1"/>
    <n v="149.99"/>
    <s v="Cash"/>
    <x v="0"/>
    <x v="2"/>
    <d v="2022-12-14T00:00:00"/>
    <n v="149.99"/>
  </r>
  <r>
    <s v="TRX0141"/>
    <x v="43"/>
    <s v="CUST033"/>
    <x v="37"/>
    <s v="P007"/>
    <x v="6"/>
    <x v="2"/>
    <n v="1"/>
    <n v="299.99"/>
    <s v="Credit Card"/>
    <x v="2"/>
    <x v="1"/>
    <d v="2022-11-26T00:00:00"/>
    <n v="299.99"/>
  </r>
  <r>
    <s v="TRX0097"/>
    <x v="44"/>
    <s v="CUST033"/>
    <x v="37"/>
    <s v="P006"/>
    <x v="9"/>
    <x v="2"/>
    <n v="2"/>
    <n v="199.99"/>
    <s v="Cash"/>
    <x v="2"/>
    <x v="0"/>
    <d v="2021-12-11T00:00:00"/>
    <n v="399.98"/>
  </r>
  <r>
    <s v="TRX0169"/>
    <x v="45"/>
    <s v="CUST047"/>
    <x v="38"/>
    <s v="P005"/>
    <x v="1"/>
    <x v="1"/>
    <n v="3"/>
    <n v="59.99"/>
    <s v="Credit Card"/>
    <x v="3"/>
    <x v="0"/>
    <d v="2023-07-23T00:00:00"/>
    <n v="179.97"/>
  </r>
  <r>
    <s v="TRX0216"/>
    <x v="45"/>
    <s v="CUST041"/>
    <x v="10"/>
    <s v="P008"/>
    <x v="2"/>
    <x v="2"/>
    <n v="3"/>
    <n v="149.99"/>
    <s v="Cash"/>
    <x v="0"/>
    <x v="1"/>
    <d v="2023-09-30T00:00:00"/>
    <n v="449.97"/>
  </r>
  <r>
    <s v="TRX0131"/>
    <x v="46"/>
    <s v="CUST026"/>
    <x v="8"/>
    <s v="P006"/>
    <x v="9"/>
    <x v="2"/>
    <n v="3"/>
    <n v="199.99"/>
    <s v="Cash"/>
    <x v="2"/>
    <x v="1"/>
    <d v="2023-11-24T00:00:00"/>
    <n v="599.97"/>
  </r>
  <r>
    <s v="TRX0162"/>
    <x v="47"/>
    <s v="CUST040"/>
    <x v="30"/>
    <s v="P001"/>
    <x v="4"/>
    <x v="0"/>
    <n v="1"/>
    <n v="899.99"/>
    <s v="Cash"/>
    <x v="0"/>
    <x v="2"/>
    <d v="2023-09-10T00:00:00"/>
    <n v="899.99"/>
  </r>
  <r>
    <s v="TRX0244"/>
    <x v="48"/>
    <s v="CUST013"/>
    <x v="1"/>
    <s v="P001"/>
    <x v="4"/>
    <x v="0"/>
    <n v="5"/>
    <n v="899.99"/>
    <s v="Debit Card"/>
    <x v="1"/>
    <x v="2"/>
    <d v="2022-12-04T00:00:00"/>
    <n v="4499.95"/>
  </r>
  <r>
    <s v="TRX0006"/>
    <x v="49"/>
    <s v="CUST007"/>
    <x v="35"/>
    <s v="P005"/>
    <x v="1"/>
    <x v="1"/>
    <n v="2"/>
    <n v="59.99"/>
    <s v="Cash"/>
    <x v="2"/>
    <x v="2"/>
    <d v="2023-08-14T00:00:00"/>
    <n v="119.98"/>
  </r>
  <r>
    <s v="TRX0215"/>
    <x v="49"/>
    <s v="CUST047"/>
    <x v="38"/>
    <s v="P009"/>
    <x v="0"/>
    <x v="0"/>
    <n v="4"/>
    <n v="249.99"/>
    <s v="Debit Card"/>
    <x v="0"/>
    <x v="2"/>
    <d v="2023-07-20T00:00:00"/>
    <n v="999.96"/>
  </r>
  <r>
    <s v="TRX0080"/>
    <x v="50"/>
    <s v="CUST018"/>
    <x v="17"/>
    <s v="P009"/>
    <x v="0"/>
    <x v="0"/>
    <n v="2"/>
    <n v="249.99"/>
    <s v="Cash"/>
    <x v="2"/>
    <x v="1"/>
    <d v="2023-08-26T00:00:00"/>
    <n v="499.98"/>
  </r>
  <r>
    <s v="TRX0228"/>
    <x v="50"/>
    <s v="CUST019"/>
    <x v="29"/>
    <s v="P007"/>
    <x v="6"/>
    <x v="2"/>
    <n v="1"/>
    <n v="299.99"/>
    <s v="Cash"/>
    <x v="1"/>
    <x v="0"/>
    <d v="2023-02-25T00:00:00"/>
    <n v="299.99"/>
  </r>
  <r>
    <s v="TRX0157"/>
    <x v="51"/>
    <s v="CUST025"/>
    <x v="14"/>
    <s v="P010"/>
    <x v="8"/>
    <x v="0"/>
    <n v="2"/>
    <n v="89.99"/>
    <s v="PayPal"/>
    <x v="1"/>
    <x v="0"/>
    <d v="2023-02-19T00:00:00"/>
    <n v="179.98"/>
  </r>
  <r>
    <s v="TRX0002"/>
    <x v="51"/>
    <s v="CUST019"/>
    <x v="29"/>
    <s v="P007"/>
    <x v="6"/>
    <x v="2"/>
    <n v="3"/>
    <n v="299.99"/>
    <s v="Cash"/>
    <x v="0"/>
    <x v="0"/>
    <d v="2022-06-20T00:00:00"/>
    <n v="899.97"/>
  </r>
  <r>
    <s v="TRX0217"/>
    <x v="52"/>
    <s v="CUST025"/>
    <x v="14"/>
    <s v="P002"/>
    <x v="5"/>
    <x v="0"/>
    <n v="2"/>
    <n v="699.99"/>
    <s v="Credit Card"/>
    <x v="2"/>
    <x v="1"/>
    <d v="2023-03-14T00:00:00"/>
    <n v="1399.98"/>
  </r>
  <r>
    <s v="TRX0249"/>
    <x v="53"/>
    <s v="CUST030"/>
    <x v="22"/>
    <s v="P001"/>
    <x v="4"/>
    <x v="0"/>
    <n v="4"/>
    <n v="899.99"/>
    <s v="Debit Card"/>
    <x v="1"/>
    <x v="2"/>
    <d v="2021-11-23T00:00:00"/>
    <n v="3599.96"/>
  </r>
  <r>
    <s v="TRX0065"/>
    <x v="54"/>
    <s v="CUST016"/>
    <x v="39"/>
    <s v="P008"/>
    <x v="2"/>
    <x v="2"/>
    <n v="2"/>
    <n v="149.99"/>
    <s v="Credit Card"/>
    <x v="3"/>
    <x v="0"/>
    <d v="2021-12-12T00:00:00"/>
    <n v="299.98"/>
  </r>
  <r>
    <s v="TRX0176"/>
    <x v="55"/>
    <s v="CUST044"/>
    <x v="19"/>
    <s v="P008"/>
    <x v="2"/>
    <x v="2"/>
    <n v="2"/>
    <n v="149.99"/>
    <s v="Debit Card"/>
    <x v="4"/>
    <x v="2"/>
    <d v="2022-04-16T00:00:00"/>
    <n v="299.98"/>
  </r>
  <r>
    <s v="TRX0101"/>
    <x v="56"/>
    <s v="CUST010"/>
    <x v="15"/>
    <s v="P010"/>
    <x v="8"/>
    <x v="0"/>
    <n v="1"/>
    <n v="89.99"/>
    <s v="Credit Card"/>
    <x v="2"/>
    <x v="2"/>
    <d v="2024-04-11T00:00:00"/>
    <n v="89.99"/>
  </r>
  <r>
    <s v="TRX0205"/>
    <x v="57"/>
    <s v="CUST025"/>
    <x v="14"/>
    <s v="P007"/>
    <x v="6"/>
    <x v="2"/>
    <n v="5"/>
    <n v="299.99"/>
    <s v="Credit Card"/>
    <x v="2"/>
    <x v="0"/>
    <d v="2023-02-08T00:00:00"/>
    <n v="1499.95"/>
  </r>
  <r>
    <s v="TRX0020"/>
    <x v="58"/>
    <s v="CUST007"/>
    <x v="35"/>
    <s v="P003"/>
    <x v="3"/>
    <x v="0"/>
    <n v="4"/>
    <n v="149.99"/>
    <s v="Debit Card"/>
    <x v="1"/>
    <x v="1"/>
    <d v="2022-09-16T00:00:00"/>
    <n v="599.96"/>
  </r>
  <r>
    <s v="TRX0075"/>
    <x v="58"/>
    <s v="CUST020"/>
    <x v="36"/>
    <s v="P009"/>
    <x v="0"/>
    <x v="0"/>
    <n v="5"/>
    <n v="249.99"/>
    <s v="PayPal"/>
    <x v="4"/>
    <x v="1"/>
    <d v="2022-08-09T00:00:00"/>
    <n v="1249.95"/>
  </r>
  <r>
    <s v="TRX0098"/>
    <x v="58"/>
    <s v="CUST026"/>
    <x v="8"/>
    <s v="P009"/>
    <x v="0"/>
    <x v="0"/>
    <n v="3"/>
    <n v="249.99"/>
    <s v="PayPal"/>
    <x v="2"/>
    <x v="1"/>
    <d v="2021-09-26T00:00:00"/>
    <n v="749.97"/>
  </r>
  <r>
    <s v="TRX0247"/>
    <x v="58"/>
    <s v="CUST046"/>
    <x v="3"/>
    <s v="P006"/>
    <x v="9"/>
    <x v="2"/>
    <n v="4"/>
    <n v="199.99"/>
    <s v="Cash"/>
    <x v="2"/>
    <x v="2"/>
    <d v="2021-09-19T00:00:00"/>
    <n v="799.96"/>
  </r>
  <r>
    <s v="TRX0027"/>
    <x v="59"/>
    <s v="CUST028"/>
    <x v="32"/>
    <s v="P006"/>
    <x v="9"/>
    <x v="2"/>
    <n v="5"/>
    <n v="199.99"/>
    <s v="Cash"/>
    <x v="2"/>
    <x v="1"/>
    <d v="2023-03-06T00:00:00"/>
    <n v="999.95"/>
  </r>
  <r>
    <s v="TRX0140"/>
    <x v="60"/>
    <s v="CUST025"/>
    <x v="14"/>
    <s v="P010"/>
    <x v="8"/>
    <x v="0"/>
    <n v="2"/>
    <n v="89.99"/>
    <s v="Cash"/>
    <x v="4"/>
    <x v="1"/>
    <d v="2023-02-15T00:00:00"/>
    <n v="179.98"/>
  </r>
  <r>
    <s v="TRX0132"/>
    <x v="61"/>
    <s v="CUST047"/>
    <x v="38"/>
    <s v="P001"/>
    <x v="4"/>
    <x v="0"/>
    <n v="5"/>
    <n v="899.99"/>
    <s v="Debit Card"/>
    <x v="4"/>
    <x v="0"/>
    <d v="2021-11-26T00:00:00"/>
    <n v="4499.95"/>
  </r>
  <r>
    <s v="TRX0031"/>
    <x v="61"/>
    <s v="CUST036"/>
    <x v="20"/>
    <s v="P003"/>
    <x v="3"/>
    <x v="0"/>
    <n v="3"/>
    <n v="149.99"/>
    <s v="PayPal"/>
    <x v="4"/>
    <x v="0"/>
    <d v="2022-01-13T00:00:00"/>
    <n v="449.97"/>
  </r>
  <r>
    <s v="TRX0236"/>
    <x v="62"/>
    <s v="CUST044"/>
    <x v="19"/>
    <s v="P008"/>
    <x v="2"/>
    <x v="2"/>
    <n v="5"/>
    <n v="149.99"/>
    <s v="Credit Card"/>
    <x v="0"/>
    <x v="0"/>
    <d v="2024-01-19T00:00:00"/>
    <n v="749.95"/>
  </r>
  <r>
    <s v="TRX0001"/>
    <x v="63"/>
    <s v="CUST039"/>
    <x v="40"/>
    <s v="P004"/>
    <x v="7"/>
    <x v="1"/>
    <n v="3"/>
    <n v="79.989999999999995"/>
    <s v="Cash"/>
    <x v="0"/>
    <x v="1"/>
    <d v="2022-08-06T00:00:00"/>
    <n v="239.97"/>
  </r>
  <r>
    <s v="TRX0037"/>
    <x v="63"/>
    <s v="CUST035"/>
    <x v="28"/>
    <s v="P009"/>
    <x v="0"/>
    <x v="0"/>
    <n v="2"/>
    <n v="249.99"/>
    <s v="Cash"/>
    <x v="1"/>
    <x v="2"/>
    <d v="2022-01-11T00:00:00"/>
    <n v="499.98"/>
  </r>
  <r>
    <s v="TRX0058"/>
    <x v="64"/>
    <s v="CUST047"/>
    <x v="38"/>
    <s v="P002"/>
    <x v="5"/>
    <x v="0"/>
    <n v="1"/>
    <n v="699.99"/>
    <s v="Cash"/>
    <x v="0"/>
    <x v="1"/>
    <d v="2021-10-28T00:00:00"/>
    <n v="699.99"/>
  </r>
  <r>
    <s v="TRX0170"/>
    <x v="64"/>
    <s v="CUST034"/>
    <x v="41"/>
    <s v="P003"/>
    <x v="3"/>
    <x v="0"/>
    <n v="3"/>
    <n v="149.99"/>
    <s v="Cash"/>
    <x v="3"/>
    <x v="1"/>
    <d v="2023-10-13T00:00:00"/>
    <n v="449.97"/>
  </r>
  <r>
    <s v="TRX0248"/>
    <x v="65"/>
    <s v="CUST032"/>
    <x v="42"/>
    <s v="P002"/>
    <x v="5"/>
    <x v="0"/>
    <n v="2"/>
    <n v="699.99"/>
    <s v="Credit Card"/>
    <x v="2"/>
    <x v="1"/>
    <d v="2021-08-13T00:00:00"/>
    <n v="1399.98"/>
  </r>
  <r>
    <s v="TRX0099"/>
    <x v="66"/>
    <s v="CUST034"/>
    <x v="41"/>
    <s v="P009"/>
    <x v="0"/>
    <x v="0"/>
    <n v="1"/>
    <n v="249.99"/>
    <s v="Credit Card"/>
    <x v="3"/>
    <x v="1"/>
    <d v="2022-05-04T00:00:00"/>
    <n v="249.99"/>
  </r>
  <r>
    <s v="TRX0074"/>
    <x v="66"/>
    <s v="CUST023"/>
    <x v="0"/>
    <s v="P009"/>
    <x v="0"/>
    <x v="0"/>
    <n v="1"/>
    <n v="249.99"/>
    <s v="Debit Card"/>
    <x v="2"/>
    <x v="1"/>
    <d v="2024-02-10T00:00:00"/>
    <n v="249.99"/>
  </r>
  <r>
    <s v="TRX0225"/>
    <x v="67"/>
    <s v="CUST039"/>
    <x v="40"/>
    <s v="P002"/>
    <x v="5"/>
    <x v="0"/>
    <n v="2"/>
    <n v="699.99"/>
    <s v="Debit Card"/>
    <x v="0"/>
    <x v="1"/>
    <d v="2022-11-05T00:00:00"/>
    <n v="1399.98"/>
  </r>
  <r>
    <s v="TRX0100"/>
    <x v="68"/>
    <s v="CUST031"/>
    <x v="26"/>
    <s v="P005"/>
    <x v="1"/>
    <x v="1"/>
    <n v="3"/>
    <n v="59.99"/>
    <s v="Credit Card"/>
    <x v="0"/>
    <x v="1"/>
    <d v="2022-06-05T00:00:00"/>
    <n v="179.97"/>
  </r>
  <r>
    <s v="TRX0142"/>
    <x v="69"/>
    <s v="CUST002"/>
    <x v="25"/>
    <s v="P005"/>
    <x v="1"/>
    <x v="1"/>
    <n v="3"/>
    <n v="59.99"/>
    <s v="PayPal"/>
    <x v="4"/>
    <x v="2"/>
    <d v="2022-07-06T00:00:00"/>
    <n v="179.97"/>
  </r>
  <r>
    <s v="TRX0112"/>
    <x v="69"/>
    <s v="CUST008"/>
    <x v="27"/>
    <s v="P004"/>
    <x v="7"/>
    <x v="1"/>
    <n v="4"/>
    <n v="79.989999999999995"/>
    <s v="Cash"/>
    <x v="2"/>
    <x v="0"/>
    <d v="2021-11-30T00:00:00"/>
    <n v="319.95999999999998"/>
  </r>
  <r>
    <s v="TRX0161"/>
    <x v="70"/>
    <s v="CUST017"/>
    <x v="6"/>
    <s v="P004"/>
    <x v="7"/>
    <x v="1"/>
    <n v="1"/>
    <n v="79.989999999999995"/>
    <s v="Cash"/>
    <x v="3"/>
    <x v="0"/>
    <d v="2022-05-12T00:00:00"/>
    <n v="79.989999999999995"/>
  </r>
  <r>
    <s v="TRX0108"/>
    <x v="71"/>
    <s v="CUST024"/>
    <x v="5"/>
    <s v="P007"/>
    <x v="6"/>
    <x v="2"/>
    <n v="3"/>
    <n v="299.99"/>
    <s v="Credit Card"/>
    <x v="0"/>
    <x v="1"/>
    <d v="2021-10-25T00:00:00"/>
    <n v="899.97"/>
  </r>
  <r>
    <s v="TRX0211"/>
    <x v="72"/>
    <s v="CUST046"/>
    <x v="3"/>
    <s v="P010"/>
    <x v="8"/>
    <x v="0"/>
    <n v="2"/>
    <n v="89.99"/>
    <s v="Credit Card"/>
    <x v="1"/>
    <x v="1"/>
    <d v="2022-03-21T00:00:00"/>
    <n v="179.98"/>
  </r>
  <r>
    <s v="TRX0005"/>
    <x v="73"/>
    <s v="CUST042"/>
    <x v="43"/>
    <s v="P003"/>
    <x v="3"/>
    <x v="0"/>
    <n v="4"/>
    <n v="149.99"/>
    <s v="Cash"/>
    <x v="2"/>
    <x v="0"/>
    <d v="2022-12-14T00:00:00"/>
    <n v="599.96"/>
  </r>
  <r>
    <s v="TRX0195"/>
    <x v="74"/>
    <s v="CUST026"/>
    <x v="8"/>
    <s v="P009"/>
    <x v="0"/>
    <x v="0"/>
    <n v="2"/>
    <n v="249.99"/>
    <s v="PayPal"/>
    <x v="1"/>
    <x v="0"/>
    <d v="2023-03-08T00:00:00"/>
    <n v="499.98"/>
  </r>
  <r>
    <s v="TRX0054"/>
    <x v="74"/>
    <s v="CUST004"/>
    <x v="31"/>
    <s v="P006"/>
    <x v="9"/>
    <x v="2"/>
    <n v="4"/>
    <n v="199.99"/>
    <s v="Debit Card"/>
    <x v="4"/>
    <x v="0"/>
    <d v="2021-09-19T00:00:00"/>
    <n v="799.96"/>
  </r>
  <r>
    <s v="TRX0077"/>
    <x v="75"/>
    <s v="CUST019"/>
    <x v="29"/>
    <s v="P010"/>
    <x v="8"/>
    <x v="0"/>
    <n v="5"/>
    <n v="89.99"/>
    <s v="Credit Card"/>
    <x v="4"/>
    <x v="1"/>
    <d v="2021-09-07T00:00:00"/>
    <n v="449.95"/>
  </r>
  <r>
    <s v="TRX0111"/>
    <x v="75"/>
    <s v="CUST011"/>
    <x v="44"/>
    <s v="P003"/>
    <x v="3"/>
    <x v="0"/>
    <n v="1"/>
    <n v="149.99"/>
    <s v="PayPal"/>
    <x v="4"/>
    <x v="2"/>
    <d v="2021-10-13T00:00:00"/>
    <n v="149.99"/>
  </r>
  <r>
    <s v="TRX0123"/>
    <x v="75"/>
    <s v="CUST041"/>
    <x v="10"/>
    <s v="P002"/>
    <x v="5"/>
    <x v="0"/>
    <n v="4"/>
    <n v="699.99"/>
    <s v="PayPal"/>
    <x v="1"/>
    <x v="0"/>
    <d v="2022-02-26T00:00:00"/>
    <n v="2799.96"/>
  </r>
  <r>
    <s v="TRX0177"/>
    <x v="76"/>
    <s v="CUST032"/>
    <x v="42"/>
    <s v="P001"/>
    <x v="4"/>
    <x v="0"/>
    <n v="3"/>
    <n v="899.99"/>
    <s v="Credit Card"/>
    <x v="2"/>
    <x v="2"/>
    <d v="2023-08-19T00:00:00"/>
    <n v="2699.97"/>
  </r>
  <r>
    <s v="TRX0119"/>
    <x v="77"/>
    <s v="CUST014"/>
    <x v="21"/>
    <s v="P008"/>
    <x v="2"/>
    <x v="2"/>
    <n v="3"/>
    <n v="149.99"/>
    <s v="PayPal"/>
    <x v="4"/>
    <x v="0"/>
    <d v="2022-11-21T00:00:00"/>
    <n v="449.97"/>
  </r>
  <r>
    <s v="TRX0181"/>
    <x v="78"/>
    <s v="CUST012"/>
    <x v="18"/>
    <s v="P007"/>
    <x v="6"/>
    <x v="2"/>
    <n v="2"/>
    <n v="299.99"/>
    <s v="Debit Card"/>
    <x v="0"/>
    <x v="0"/>
    <d v="2022-01-08T00:00:00"/>
    <n v="599.98"/>
  </r>
  <r>
    <s v="TRX0129"/>
    <x v="79"/>
    <s v="CUST015"/>
    <x v="45"/>
    <s v="P006"/>
    <x v="9"/>
    <x v="2"/>
    <n v="1"/>
    <n v="199.99"/>
    <s v="Debit Card"/>
    <x v="4"/>
    <x v="2"/>
    <d v="2023-01-27T00:00:00"/>
    <n v="199.99"/>
  </r>
  <r>
    <s v="TRX0174"/>
    <x v="80"/>
    <s v="CUST003"/>
    <x v="4"/>
    <s v="P007"/>
    <x v="6"/>
    <x v="2"/>
    <n v="4"/>
    <n v="299.99"/>
    <s v="Cash"/>
    <x v="0"/>
    <x v="1"/>
    <d v="2021-09-21T00:00:00"/>
    <n v="1199.96"/>
  </r>
  <r>
    <s v="TRX0146"/>
    <x v="81"/>
    <s v="CUST010"/>
    <x v="15"/>
    <s v="P005"/>
    <x v="1"/>
    <x v="1"/>
    <n v="2"/>
    <n v="59.99"/>
    <s v="Credit Card"/>
    <x v="0"/>
    <x v="0"/>
    <d v="2022-01-18T00:00:00"/>
    <n v="119.98"/>
  </r>
  <r>
    <s v="TRX0203"/>
    <x v="81"/>
    <s v="CUST032"/>
    <x v="42"/>
    <s v="P003"/>
    <x v="3"/>
    <x v="0"/>
    <n v="4"/>
    <n v="149.99"/>
    <s v="Credit Card"/>
    <x v="2"/>
    <x v="1"/>
    <d v="2023-05-30T00:00:00"/>
    <n v="599.96"/>
  </r>
  <r>
    <s v="TRX0055"/>
    <x v="82"/>
    <s v="CUST016"/>
    <x v="39"/>
    <s v="P002"/>
    <x v="5"/>
    <x v="0"/>
    <n v="2"/>
    <n v="699.99"/>
    <s v="Debit Card"/>
    <x v="4"/>
    <x v="1"/>
    <d v="2023-12-14T00:00:00"/>
    <n v="1399.98"/>
  </r>
  <r>
    <s v="TRX0218"/>
    <x v="82"/>
    <s v="CUST034"/>
    <x v="41"/>
    <s v="P008"/>
    <x v="2"/>
    <x v="2"/>
    <n v="3"/>
    <n v="149.99"/>
    <s v="Credit Card"/>
    <x v="1"/>
    <x v="2"/>
    <d v="2023-01-14T00:00:00"/>
    <n v="449.97"/>
  </r>
  <r>
    <s v="TRX0085"/>
    <x v="83"/>
    <s v="CUST019"/>
    <x v="29"/>
    <s v="P007"/>
    <x v="6"/>
    <x v="2"/>
    <n v="3"/>
    <n v="299.99"/>
    <s v="Credit Card"/>
    <x v="0"/>
    <x v="2"/>
    <d v="2023-09-05T00:00:00"/>
    <n v="899.97"/>
  </r>
  <r>
    <s v="TRX0158"/>
    <x v="84"/>
    <s v="CUST027"/>
    <x v="13"/>
    <s v="P001"/>
    <x v="4"/>
    <x v="0"/>
    <n v="3"/>
    <n v="899.99"/>
    <s v="PayPal"/>
    <x v="3"/>
    <x v="0"/>
    <d v="2023-10-16T00:00:00"/>
    <n v="2699.97"/>
  </r>
  <r>
    <s v="TRX0173"/>
    <x v="85"/>
    <s v="CUST018"/>
    <x v="17"/>
    <s v="P002"/>
    <x v="5"/>
    <x v="0"/>
    <n v="5"/>
    <n v="699.99"/>
    <s v="Cash"/>
    <x v="4"/>
    <x v="2"/>
    <d v="2023-03-23T00:00:00"/>
    <n v="3499.95"/>
  </r>
  <r>
    <s v="TRX0034"/>
    <x v="85"/>
    <s v="CUST049"/>
    <x v="34"/>
    <s v="P002"/>
    <x v="5"/>
    <x v="0"/>
    <n v="4"/>
    <n v="699.99"/>
    <s v="Credit Card"/>
    <x v="0"/>
    <x v="0"/>
    <d v="2024-04-03T00:00:00"/>
    <n v="2799.96"/>
  </r>
  <r>
    <s v="TRX0189"/>
    <x v="85"/>
    <s v="CUST040"/>
    <x v="30"/>
    <s v="P001"/>
    <x v="4"/>
    <x v="0"/>
    <n v="1"/>
    <n v="899.99"/>
    <s v="Credit Card"/>
    <x v="4"/>
    <x v="2"/>
    <d v="2024-03-18T00:00:00"/>
    <n v="899.99"/>
  </r>
  <r>
    <s v="TRX0190"/>
    <x v="86"/>
    <s v="CUST039"/>
    <x v="40"/>
    <s v="P003"/>
    <x v="3"/>
    <x v="0"/>
    <n v="2"/>
    <n v="149.99"/>
    <s v="Credit Card"/>
    <x v="3"/>
    <x v="0"/>
    <d v="2022-12-21T00:00:00"/>
    <n v="299.98"/>
  </r>
  <r>
    <s v="TRX0079"/>
    <x v="87"/>
    <s v="CUST039"/>
    <x v="40"/>
    <s v="P010"/>
    <x v="8"/>
    <x v="0"/>
    <n v="3"/>
    <n v="89.99"/>
    <s v="PayPal"/>
    <x v="0"/>
    <x v="0"/>
    <d v="2021-12-21T00:00:00"/>
    <n v="269.97000000000003"/>
  </r>
  <r>
    <s v="TRX0095"/>
    <x v="88"/>
    <s v="CUST046"/>
    <x v="3"/>
    <s v="P003"/>
    <x v="3"/>
    <x v="0"/>
    <n v="2"/>
    <n v="149.99"/>
    <s v="PayPal"/>
    <x v="0"/>
    <x v="0"/>
    <d v="2021-10-04T00:00:00"/>
    <n v="299.98"/>
  </r>
  <r>
    <s v="TRX0009"/>
    <x v="88"/>
    <s v="CUST004"/>
    <x v="31"/>
    <s v="P002"/>
    <x v="5"/>
    <x v="0"/>
    <n v="2"/>
    <n v="699.99"/>
    <s v="Cash"/>
    <x v="0"/>
    <x v="0"/>
    <d v="2023-03-07T00:00:00"/>
    <n v="1399.98"/>
  </r>
  <r>
    <s v="TRX0167"/>
    <x v="89"/>
    <s v="CUST028"/>
    <x v="32"/>
    <s v="P002"/>
    <x v="5"/>
    <x v="0"/>
    <n v="5"/>
    <n v="699.99"/>
    <s v="Cash"/>
    <x v="2"/>
    <x v="1"/>
    <d v="2022-03-15T00:00:00"/>
    <n v="3499.95"/>
  </r>
  <r>
    <s v="TRX0153"/>
    <x v="90"/>
    <s v="CUST049"/>
    <x v="34"/>
    <s v="P010"/>
    <x v="8"/>
    <x v="0"/>
    <n v="3"/>
    <n v="89.99"/>
    <s v="Credit Card"/>
    <x v="2"/>
    <x v="2"/>
    <d v="2022-02-23T00:00:00"/>
    <n v="269.97000000000003"/>
  </r>
  <r>
    <s v="TRX0057"/>
    <x v="91"/>
    <s v="CUST023"/>
    <x v="0"/>
    <s v="P009"/>
    <x v="0"/>
    <x v="0"/>
    <n v="5"/>
    <n v="249.99"/>
    <s v="Credit Card"/>
    <x v="1"/>
    <x v="2"/>
    <d v="2022-11-16T00:00:00"/>
    <n v="1249.95"/>
  </r>
  <r>
    <s v="TRX0017"/>
    <x v="92"/>
    <s v="CUST026"/>
    <x v="8"/>
    <s v="P007"/>
    <x v="6"/>
    <x v="2"/>
    <n v="3"/>
    <n v="299.99"/>
    <s v="Credit Card"/>
    <x v="1"/>
    <x v="2"/>
    <d v="2021-11-02T00:00:00"/>
    <n v="899.97"/>
  </r>
  <r>
    <s v="TRX0060"/>
    <x v="93"/>
    <s v="CUST012"/>
    <x v="18"/>
    <s v="P010"/>
    <x v="8"/>
    <x v="0"/>
    <n v="3"/>
    <n v="89.99"/>
    <s v="Credit Card"/>
    <x v="2"/>
    <x v="1"/>
    <d v="2021-08-12T00:00:00"/>
    <n v="269.97000000000003"/>
  </r>
  <r>
    <s v="TRX0109"/>
    <x v="94"/>
    <s v="CUST010"/>
    <x v="15"/>
    <s v="P008"/>
    <x v="2"/>
    <x v="2"/>
    <n v="2"/>
    <n v="149.99"/>
    <s v="Credit Card"/>
    <x v="3"/>
    <x v="1"/>
    <d v="2022-10-14T00:00:00"/>
    <n v="299.98"/>
  </r>
  <r>
    <s v="TRX0090"/>
    <x v="95"/>
    <s v="CUST020"/>
    <x v="36"/>
    <s v="P009"/>
    <x v="0"/>
    <x v="0"/>
    <n v="1"/>
    <n v="249.99"/>
    <s v="Credit Card"/>
    <x v="2"/>
    <x v="1"/>
    <d v="2022-09-24T00:00:00"/>
    <n v="249.99"/>
  </r>
  <r>
    <s v="TRX0035"/>
    <x v="96"/>
    <s v="CUST041"/>
    <x v="10"/>
    <s v="P003"/>
    <x v="3"/>
    <x v="0"/>
    <n v="3"/>
    <n v="149.99"/>
    <s v="Cash"/>
    <x v="2"/>
    <x v="0"/>
    <d v="2022-07-27T00:00:00"/>
    <n v="449.97"/>
  </r>
  <r>
    <s v="TRX0172"/>
    <x v="96"/>
    <s v="CUST023"/>
    <x v="0"/>
    <s v="P005"/>
    <x v="1"/>
    <x v="1"/>
    <n v="5"/>
    <n v="59.99"/>
    <s v="PayPal"/>
    <x v="3"/>
    <x v="1"/>
    <d v="2022-05-13T00:00:00"/>
    <n v="299.95"/>
  </r>
  <r>
    <s v="TRX0076"/>
    <x v="96"/>
    <s v="CUST012"/>
    <x v="18"/>
    <s v="P009"/>
    <x v="0"/>
    <x v="0"/>
    <n v="4"/>
    <n v="249.99"/>
    <s v="Credit Card"/>
    <x v="3"/>
    <x v="2"/>
    <d v="2022-04-08T00:00:00"/>
    <n v="999.96"/>
  </r>
  <r>
    <s v="TRX0210"/>
    <x v="97"/>
    <s v="CUST004"/>
    <x v="31"/>
    <s v="P008"/>
    <x v="2"/>
    <x v="2"/>
    <n v="5"/>
    <n v="149.99"/>
    <s v="PayPal"/>
    <x v="0"/>
    <x v="0"/>
    <d v="2022-12-06T00:00:00"/>
    <n v="749.95"/>
  </r>
  <r>
    <s v="TRX0149"/>
    <x v="97"/>
    <s v="CUST027"/>
    <x v="13"/>
    <s v="P005"/>
    <x v="1"/>
    <x v="1"/>
    <n v="3"/>
    <n v="59.99"/>
    <s v="Debit Card"/>
    <x v="1"/>
    <x v="2"/>
    <d v="2023-11-30T00:00:00"/>
    <n v="179.97"/>
  </r>
  <r>
    <s v="TRX0073"/>
    <x v="98"/>
    <s v="CUST032"/>
    <x v="42"/>
    <s v="P008"/>
    <x v="2"/>
    <x v="2"/>
    <n v="5"/>
    <n v="149.99"/>
    <s v="Cash"/>
    <x v="2"/>
    <x v="0"/>
    <d v="2022-11-04T00:00:00"/>
    <n v="749.95"/>
  </r>
  <r>
    <s v="TRX0033"/>
    <x v="98"/>
    <s v="CUST025"/>
    <x v="14"/>
    <s v="P002"/>
    <x v="5"/>
    <x v="0"/>
    <n v="2"/>
    <n v="699.99"/>
    <s v="PayPal"/>
    <x v="3"/>
    <x v="2"/>
    <d v="2022-07-28T00:00:00"/>
    <n v="1399.98"/>
  </r>
  <r>
    <s v="TRX0160"/>
    <x v="99"/>
    <s v="CUST029"/>
    <x v="23"/>
    <s v="P006"/>
    <x v="9"/>
    <x v="2"/>
    <n v="4"/>
    <n v="199.99"/>
    <s v="Debit Card"/>
    <x v="0"/>
    <x v="1"/>
    <d v="2021-08-19T00:00:00"/>
    <n v="799.96"/>
  </r>
  <r>
    <s v="TRX0145"/>
    <x v="100"/>
    <s v="CUST033"/>
    <x v="37"/>
    <s v="P005"/>
    <x v="1"/>
    <x v="1"/>
    <n v="1"/>
    <n v="59.99"/>
    <s v="Debit Card"/>
    <x v="3"/>
    <x v="2"/>
    <d v="2021-12-30T00:00:00"/>
    <n v="59.99"/>
  </r>
  <r>
    <s v="TRX0148"/>
    <x v="100"/>
    <s v="CUST004"/>
    <x v="31"/>
    <s v="P002"/>
    <x v="5"/>
    <x v="0"/>
    <n v="3"/>
    <n v="699.99"/>
    <s v="PayPal"/>
    <x v="3"/>
    <x v="2"/>
    <d v="2022-01-22T00:00:00"/>
    <n v="2099.9699999999998"/>
  </r>
  <r>
    <s v="TRX0012"/>
    <x v="101"/>
    <s v="CUST045"/>
    <x v="46"/>
    <s v="P009"/>
    <x v="0"/>
    <x v="0"/>
    <n v="5"/>
    <n v="249.99"/>
    <s v="Credit Card"/>
    <x v="2"/>
    <x v="0"/>
    <d v="2022-11-08T00:00:00"/>
    <n v="1249.95"/>
  </r>
  <r>
    <s v="TRX0206"/>
    <x v="102"/>
    <s v="CUST014"/>
    <x v="21"/>
    <s v="P008"/>
    <x v="2"/>
    <x v="2"/>
    <n v="2"/>
    <n v="149.99"/>
    <s v="Cash"/>
    <x v="1"/>
    <x v="2"/>
    <d v="2023-06-24T00:00:00"/>
    <n v="299.98"/>
  </r>
  <r>
    <s v="TRX0045"/>
    <x v="103"/>
    <s v="CUST021"/>
    <x v="2"/>
    <s v="P007"/>
    <x v="6"/>
    <x v="2"/>
    <n v="3"/>
    <n v="299.99"/>
    <s v="Cash"/>
    <x v="1"/>
    <x v="1"/>
    <d v="2022-04-08T00:00:00"/>
    <n v="899.97"/>
  </r>
  <r>
    <s v="TRX0094"/>
    <x v="103"/>
    <s v="CUST017"/>
    <x v="6"/>
    <s v="P009"/>
    <x v="0"/>
    <x v="0"/>
    <n v="5"/>
    <n v="249.99"/>
    <s v="Cash"/>
    <x v="0"/>
    <x v="1"/>
    <d v="2021-10-16T00:00:00"/>
    <n v="1249.95"/>
  </r>
  <r>
    <s v="TRX0133"/>
    <x v="103"/>
    <s v="CUST013"/>
    <x v="1"/>
    <s v="P003"/>
    <x v="3"/>
    <x v="0"/>
    <n v="2"/>
    <n v="149.99"/>
    <s v="Cash"/>
    <x v="1"/>
    <x v="1"/>
    <d v="2021-10-06T00:00:00"/>
    <n v="299.98"/>
  </r>
  <r>
    <s v="TRX0201"/>
    <x v="103"/>
    <s v="CUST025"/>
    <x v="14"/>
    <s v="P002"/>
    <x v="5"/>
    <x v="0"/>
    <n v="5"/>
    <n v="699.99"/>
    <s v="Debit Card"/>
    <x v="3"/>
    <x v="2"/>
    <d v="2023-01-18T00:00:00"/>
    <n v="3499.95"/>
  </r>
  <r>
    <s v="TRX0137"/>
    <x v="104"/>
    <s v="CUST011"/>
    <x v="44"/>
    <s v="P009"/>
    <x v="0"/>
    <x v="0"/>
    <n v="4"/>
    <n v="249.99"/>
    <s v="PayPal"/>
    <x v="4"/>
    <x v="1"/>
    <d v="2023-06-21T00:00:00"/>
    <n v="999.96"/>
  </r>
  <r>
    <s v="TRX0066"/>
    <x v="105"/>
    <s v="CUST024"/>
    <x v="5"/>
    <s v="P002"/>
    <x v="5"/>
    <x v="0"/>
    <n v="4"/>
    <n v="699.99"/>
    <s v="Credit Card"/>
    <x v="2"/>
    <x v="1"/>
    <d v="2022-05-22T00:00:00"/>
    <n v="2799.96"/>
  </r>
  <r>
    <s v="TRX0180"/>
    <x v="106"/>
    <s v="CUST036"/>
    <x v="20"/>
    <s v="P009"/>
    <x v="0"/>
    <x v="0"/>
    <n v="2"/>
    <n v="249.99"/>
    <s v="Credit Card"/>
    <x v="0"/>
    <x v="1"/>
    <d v="2021-07-19T00:00:00"/>
    <n v="499.98"/>
  </r>
  <r>
    <s v="TRX0082"/>
    <x v="106"/>
    <s v="CUST005"/>
    <x v="47"/>
    <s v="P005"/>
    <x v="1"/>
    <x v="1"/>
    <n v="3"/>
    <n v="59.99"/>
    <s v="Cash"/>
    <x v="0"/>
    <x v="1"/>
    <d v="2023-05-06T00:00:00"/>
    <n v="179.97"/>
  </r>
  <r>
    <s v="TRX0036"/>
    <x v="106"/>
    <s v="CUST008"/>
    <x v="27"/>
    <s v="P004"/>
    <x v="7"/>
    <x v="1"/>
    <n v="4"/>
    <n v="79.989999999999995"/>
    <s v="Debit Card"/>
    <x v="4"/>
    <x v="2"/>
    <d v="2022-12-26T00:00:00"/>
    <n v="319.95999999999998"/>
  </r>
  <r>
    <s v="TRX0198"/>
    <x v="107"/>
    <s v="CUST030"/>
    <x v="22"/>
    <s v="P004"/>
    <x v="7"/>
    <x v="1"/>
    <n v="3"/>
    <n v="79.989999999999995"/>
    <s v="Debit Card"/>
    <x v="4"/>
    <x v="2"/>
    <d v="2022-08-06T00:00:00"/>
    <n v="239.97"/>
  </r>
  <r>
    <s v="TRX0032"/>
    <x v="108"/>
    <s v="CUST041"/>
    <x v="10"/>
    <s v="P001"/>
    <x v="4"/>
    <x v="0"/>
    <n v="2"/>
    <n v="899.99"/>
    <s v="Cash"/>
    <x v="2"/>
    <x v="0"/>
    <d v="2021-07-29T00:00:00"/>
    <n v="1799.98"/>
  </r>
  <r>
    <s v="TRX0081"/>
    <x v="109"/>
    <s v="CUST007"/>
    <x v="35"/>
    <s v="P008"/>
    <x v="2"/>
    <x v="2"/>
    <n v="1"/>
    <n v="149.99"/>
    <s v="Debit Card"/>
    <x v="4"/>
    <x v="2"/>
    <d v="2023-10-01T00:00:00"/>
    <n v="149.99"/>
  </r>
  <r>
    <s v="TRX0224"/>
    <x v="109"/>
    <s v="CUST031"/>
    <x v="26"/>
    <s v="P007"/>
    <x v="6"/>
    <x v="2"/>
    <n v="2"/>
    <n v="299.99"/>
    <s v="Cash"/>
    <x v="4"/>
    <x v="1"/>
    <d v="2022-06-12T00:00:00"/>
    <n v="599.98"/>
  </r>
  <r>
    <s v="TRX0028"/>
    <x v="110"/>
    <s v="CUST002"/>
    <x v="25"/>
    <s v="P005"/>
    <x v="1"/>
    <x v="1"/>
    <n v="2"/>
    <n v="59.99"/>
    <s v="Cash"/>
    <x v="3"/>
    <x v="0"/>
    <d v="2023-09-22T00:00:00"/>
    <n v="119.98"/>
  </r>
  <r>
    <s v="TRX0183"/>
    <x v="111"/>
    <s v="CUST007"/>
    <x v="35"/>
    <s v="P010"/>
    <x v="8"/>
    <x v="0"/>
    <n v="1"/>
    <n v="89.99"/>
    <s v="Debit Card"/>
    <x v="0"/>
    <x v="2"/>
    <d v="2022-07-18T00:00:00"/>
    <n v="89.99"/>
  </r>
  <r>
    <s v="TRX0163"/>
    <x v="111"/>
    <s v="CUST019"/>
    <x v="29"/>
    <s v="P001"/>
    <x v="4"/>
    <x v="0"/>
    <n v="5"/>
    <n v="899.99"/>
    <s v="Debit Card"/>
    <x v="4"/>
    <x v="2"/>
    <d v="2022-03-05T00:00:00"/>
    <n v="4499.95"/>
  </r>
  <r>
    <s v="TRX0046"/>
    <x v="112"/>
    <s v="CUST003"/>
    <x v="4"/>
    <s v="P008"/>
    <x v="2"/>
    <x v="2"/>
    <n v="2"/>
    <n v="149.99"/>
    <s v="Cash"/>
    <x v="1"/>
    <x v="0"/>
    <d v="2023-11-09T00:00:00"/>
    <n v="299.98"/>
  </r>
  <r>
    <s v="TRX0164"/>
    <x v="113"/>
    <s v="CUST014"/>
    <x v="21"/>
    <s v="P003"/>
    <x v="3"/>
    <x v="0"/>
    <n v="2"/>
    <n v="149.99"/>
    <s v="Debit Card"/>
    <x v="3"/>
    <x v="1"/>
    <d v="2023-12-20T00:00:00"/>
    <n v="299.98"/>
  </r>
  <r>
    <s v="TRX0008"/>
    <x v="113"/>
    <s v="CUST007"/>
    <x v="35"/>
    <s v="P008"/>
    <x v="2"/>
    <x v="2"/>
    <n v="3"/>
    <n v="149.99"/>
    <s v="Debit Card"/>
    <x v="2"/>
    <x v="2"/>
    <d v="2021-11-22T00:00:00"/>
    <n v="449.97"/>
  </r>
  <r>
    <s v="TRX0171"/>
    <x v="114"/>
    <s v="CUST021"/>
    <x v="2"/>
    <s v="P007"/>
    <x v="6"/>
    <x v="2"/>
    <n v="2"/>
    <n v="299.99"/>
    <s v="PayPal"/>
    <x v="1"/>
    <x v="0"/>
    <d v="2022-06-09T00:00:00"/>
    <n v="599.98"/>
  </r>
  <r>
    <s v="TRX0143"/>
    <x v="115"/>
    <s v="CUST003"/>
    <x v="4"/>
    <s v="P007"/>
    <x v="6"/>
    <x v="2"/>
    <n v="2"/>
    <n v="299.99"/>
    <s v="Cash"/>
    <x v="3"/>
    <x v="0"/>
    <d v="2022-07-29T00:00:00"/>
    <n v="599.98"/>
  </r>
  <r>
    <s v="TRX0165"/>
    <x v="115"/>
    <s v="CUST030"/>
    <x v="22"/>
    <s v="P006"/>
    <x v="9"/>
    <x v="2"/>
    <n v="4"/>
    <n v="199.99"/>
    <s v="Credit Card"/>
    <x v="0"/>
    <x v="0"/>
    <d v="2021-11-23T00:00:00"/>
    <n v="799.96"/>
  </r>
  <r>
    <s v="TRX0156"/>
    <x v="116"/>
    <s v="CUST009"/>
    <x v="7"/>
    <s v="P010"/>
    <x v="8"/>
    <x v="0"/>
    <n v="1"/>
    <n v="89.99"/>
    <s v="Credit Card"/>
    <x v="1"/>
    <x v="1"/>
    <d v="2022-01-30T00:00:00"/>
    <n v="89.99"/>
  </r>
  <r>
    <s v="TRX0147"/>
    <x v="116"/>
    <s v="CUST036"/>
    <x v="20"/>
    <s v="P008"/>
    <x v="2"/>
    <x v="2"/>
    <n v="5"/>
    <n v="149.99"/>
    <s v="Cash"/>
    <x v="0"/>
    <x v="1"/>
    <d v="2024-02-25T00:00:00"/>
    <n v="749.95"/>
  </r>
  <r>
    <s v="TRX0207"/>
    <x v="117"/>
    <s v="CUST025"/>
    <x v="14"/>
    <s v="P001"/>
    <x v="4"/>
    <x v="0"/>
    <n v="1"/>
    <n v="899.99"/>
    <s v="PayPal"/>
    <x v="2"/>
    <x v="1"/>
    <d v="2023-05-04T00:00:00"/>
    <n v="899.99"/>
  </r>
  <r>
    <s v="TRX0056"/>
    <x v="118"/>
    <s v="CUST019"/>
    <x v="29"/>
    <s v="P010"/>
    <x v="8"/>
    <x v="0"/>
    <n v="2"/>
    <n v="89.99"/>
    <s v="Credit Card"/>
    <x v="1"/>
    <x v="1"/>
    <d v="2022-01-03T00:00:00"/>
    <n v="179.98"/>
  </r>
  <r>
    <s v="TRX0026"/>
    <x v="119"/>
    <s v="CUST037"/>
    <x v="48"/>
    <s v="P001"/>
    <x v="4"/>
    <x v="0"/>
    <n v="1"/>
    <n v="899.99"/>
    <s v="PayPal"/>
    <x v="2"/>
    <x v="2"/>
    <d v="2022-07-10T00:00:00"/>
    <n v="899.99"/>
  </r>
  <r>
    <s v="TRX0237"/>
    <x v="120"/>
    <s v="CUST006"/>
    <x v="24"/>
    <s v="P003"/>
    <x v="3"/>
    <x v="0"/>
    <n v="5"/>
    <n v="149.99"/>
    <s v="PayPal"/>
    <x v="4"/>
    <x v="1"/>
    <d v="2022-09-20T00:00:00"/>
    <n v="749.95"/>
  </r>
  <r>
    <s v="TRX0091"/>
    <x v="120"/>
    <s v="CUST003"/>
    <x v="4"/>
    <s v="P007"/>
    <x v="6"/>
    <x v="2"/>
    <n v="3"/>
    <n v="299.99"/>
    <s v="Cash"/>
    <x v="1"/>
    <x v="2"/>
    <d v="2021-08-14T00:00:00"/>
    <n v="899.97"/>
  </r>
  <r>
    <s v="TRX0125"/>
    <x v="121"/>
    <s v="CUST026"/>
    <x v="8"/>
    <s v="P002"/>
    <x v="5"/>
    <x v="0"/>
    <n v="3"/>
    <n v="699.99"/>
    <s v="Credit Card"/>
    <x v="0"/>
    <x v="1"/>
    <d v="2023-06-28T00:00:00"/>
    <n v="2099.9699999999998"/>
  </r>
  <r>
    <s v="TRX0223"/>
    <x v="122"/>
    <s v="CUST036"/>
    <x v="20"/>
    <s v="P006"/>
    <x v="9"/>
    <x v="2"/>
    <n v="5"/>
    <n v="199.99"/>
    <s v="PayPal"/>
    <x v="0"/>
    <x v="2"/>
    <d v="2022-03-13T00:00:00"/>
    <n v="999.95"/>
  </r>
  <r>
    <s v="TRX0243"/>
    <x v="122"/>
    <s v="CUST048"/>
    <x v="16"/>
    <s v="P009"/>
    <x v="0"/>
    <x v="0"/>
    <n v="5"/>
    <n v="249.99"/>
    <s v="Credit Card"/>
    <x v="1"/>
    <x v="0"/>
    <d v="2024-02-08T00:00:00"/>
    <n v="1249.95"/>
  </r>
  <r>
    <s v="TRX0084"/>
    <x v="123"/>
    <s v="CUST031"/>
    <x v="26"/>
    <s v="P003"/>
    <x v="3"/>
    <x v="0"/>
    <n v="4"/>
    <n v="149.99"/>
    <s v="Debit Card"/>
    <x v="4"/>
    <x v="2"/>
    <d v="2021-12-06T00:00:00"/>
    <n v="599.96"/>
  </r>
  <r>
    <s v="TRX0238"/>
    <x v="123"/>
    <s v="CUST038"/>
    <x v="12"/>
    <s v="P002"/>
    <x v="5"/>
    <x v="0"/>
    <n v="3"/>
    <n v="699.99"/>
    <s v="Cash"/>
    <x v="2"/>
    <x v="1"/>
    <d v="2022-02-10T00:00:00"/>
    <n v="2099.9699999999998"/>
  </r>
  <r>
    <s v="TRX0102"/>
    <x v="124"/>
    <s v="CUST045"/>
    <x v="46"/>
    <s v="P004"/>
    <x v="7"/>
    <x v="1"/>
    <n v="1"/>
    <n v="79.989999999999995"/>
    <s v="Credit Card"/>
    <x v="1"/>
    <x v="0"/>
    <d v="2024-01-31T00:00:00"/>
    <n v="79.989999999999995"/>
  </r>
  <r>
    <s v="TRX0022"/>
    <x v="124"/>
    <s v="CUST025"/>
    <x v="14"/>
    <s v="P007"/>
    <x v="6"/>
    <x v="2"/>
    <n v="1"/>
    <n v="299.99"/>
    <s v="Credit Card"/>
    <x v="2"/>
    <x v="0"/>
    <d v="2021-08-28T00:00:00"/>
    <n v="299.99"/>
  </r>
  <r>
    <s v="TRX0087"/>
    <x v="125"/>
    <s v="CUST028"/>
    <x v="32"/>
    <s v="P009"/>
    <x v="0"/>
    <x v="0"/>
    <n v="4"/>
    <n v="249.99"/>
    <s v="Credit Card"/>
    <x v="2"/>
    <x v="1"/>
    <d v="2021-09-21T00:00:00"/>
    <n v="999.96"/>
  </r>
  <r>
    <s v="TRX0107"/>
    <x v="125"/>
    <s v="CUST030"/>
    <x v="22"/>
    <s v="P003"/>
    <x v="3"/>
    <x v="0"/>
    <n v="2"/>
    <n v="149.99"/>
    <s v="Cash"/>
    <x v="2"/>
    <x v="2"/>
    <d v="2022-12-18T00:00:00"/>
    <n v="299.98"/>
  </r>
  <r>
    <s v="TRX0051"/>
    <x v="125"/>
    <s v="CUST032"/>
    <x v="42"/>
    <s v="P007"/>
    <x v="6"/>
    <x v="2"/>
    <n v="3"/>
    <n v="299.99"/>
    <s v="Credit Card"/>
    <x v="1"/>
    <x v="0"/>
    <d v="2023-10-05T00:00:00"/>
    <n v="899.97"/>
  </r>
  <r>
    <s v="TRX0106"/>
    <x v="126"/>
    <s v="CUST039"/>
    <x v="40"/>
    <s v="P006"/>
    <x v="9"/>
    <x v="2"/>
    <n v="4"/>
    <n v="199.99"/>
    <s v="Debit Card"/>
    <x v="1"/>
    <x v="2"/>
    <d v="2021-12-14T00:00:00"/>
    <n v="799.96"/>
  </r>
  <r>
    <s v="TRX0059"/>
    <x v="126"/>
    <s v="CUST016"/>
    <x v="39"/>
    <s v="P007"/>
    <x v="6"/>
    <x v="2"/>
    <n v="5"/>
    <n v="299.99"/>
    <s v="Debit Card"/>
    <x v="0"/>
    <x v="0"/>
    <d v="2021-08-23T00:00:00"/>
    <n v="1499.95"/>
  </r>
  <r>
    <s v="TRX0072"/>
    <x v="126"/>
    <s v="CUST009"/>
    <x v="7"/>
    <s v="P008"/>
    <x v="2"/>
    <x v="2"/>
    <n v="3"/>
    <n v="149.99"/>
    <s v="Credit Card"/>
    <x v="4"/>
    <x v="2"/>
    <d v="2021-07-18T00:00:00"/>
    <n v="449.97"/>
  </r>
  <r>
    <s v="TRX0110"/>
    <x v="127"/>
    <s v="CUST006"/>
    <x v="24"/>
    <s v="P005"/>
    <x v="1"/>
    <x v="1"/>
    <n v="5"/>
    <n v="59.99"/>
    <s v="Debit Card"/>
    <x v="4"/>
    <x v="0"/>
    <d v="2022-03-22T00:00:00"/>
    <n v="299.95"/>
  </r>
  <r>
    <s v="TRX0126"/>
    <x v="128"/>
    <s v="CUST022"/>
    <x v="9"/>
    <s v="P005"/>
    <x v="1"/>
    <x v="1"/>
    <n v="4"/>
    <n v="59.99"/>
    <s v="Debit Card"/>
    <x v="4"/>
    <x v="2"/>
    <d v="2022-01-03T00:00:00"/>
    <n v="239.96"/>
  </r>
  <r>
    <s v="TRX0159"/>
    <x v="129"/>
    <s v="CUST024"/>
    <x v="5"/>
    <s v="P009"/>
    <x v="0"/>
    <x v="0"/>
    <n v="4"/>
    <n v="249.99"/>
    <s v="Debit Card"/>
    <x v="0"/>
    <x v="1"/>
    <d v="2023-10-18T00:00:00"/>
    <n v="999.96"/>
  </r>
  <r>
    <s v="TRX0030"/>
    <x v="130"/>
    <s v="CUST011"/>
    <x v="44"/>
    <s v="P001"/>
    <x v="4"/>
    <x v="0"/>
    <n v="4"/>
    <n v="899.99"/>
    <s v="PayPal"/>
    <x v="0"/>
    <x v="0"/>
    <d v="2022-06-22T00:00:00"/>
    <n v="3599.96"/>
  </r>
  <r>
    <s v="TRX0178"/>
    <x v="130"/>
    <s v="CUST025"/>
    <x v="14"/>
    <s v="P007"/>
    <x v="6"/>
    <x v="2"/>
    <n v="3"/>
    <n v="299.99"/>
    <s v="Debit Card"/>
    <x v="3"/>
    <x v="2"/>
    <d v="2023-01-26T00:00:00"/>
    <n v="899.97"/>
  </r>
  <r>
    <s v="TRX0188"/>
    <x v="130"/>
    <s v="CUST045"/>
    <x v="46"/>
    <s v="P002"/>
    <x v="5"/>
    <x v="0"/>
    <n v="2"/>
    <n v="699.99"/>
    <s v="Debit Card"/>
    <x v="0"/>
    <x v="1"/>
    <d v="2022-04-30T00:00:00"/>
    <n v="1399.98"/>
  </r>
  <r>
    <s v="TRX0010"/>
    <x v="131"/>
    <s v="CUST026"/>
    <x v="8"/>
    <s v="P002"/>
    <x v="5"/>
    <x v="0"/>
    <n v="4"/>
    <n v="699.99"/>
    <s v="Debit Card"/>
    <x v="3"/>
    <x v="1"/>
    <d v="2022-05-11T00:00:00"/>
    <n v="2799.96"/>
  </r>
  <r>
    <s v="TRX0069"/>
    <x v="131"/>
    <s v="CUST029"/>
    <x v="23"/>
    <s v="P010"/>
    <x v="8"/>
    <x v="0"/>
    <n v="2"/>
    <n v="89.99"/>
    <s v="Debit Card"/>
    <x v="1"/>
    <x v="0"/>
    <d v="2022-08-04T00:00:00"/>
    <n v="179.98"/>
  </r>
  <r>
    <s v="TRX0166"/>
    <x v="131"/>
    <s v="CUST003"/>
    <x v="4"/>
    <s v="P010"/>
    <x v="8"/>
    <x v="0"/>
    <n v="3"/>
    <n v="89.99"/>
    <s v="Debit Card"/>
    <x v="1"/>
    <x v="1"/>
    <d v="2024-01-16T00:00:00"/>
    <n v="269.97000000000003"/>
  </r>
  <r>
    <s v="TRX0219"/>
    <x v="132"/>
    <s v="CUST037"/>
    <x v="48"/>
    <s v="P005"/>
    <x v="1"/>
    <x v="1"/>
    <n v="1"/>
    <n v="59.99"/>
    <s v="Debit Card"/>
    <x v="0"/>
    <x v="2"/>
    <d v="2023-04-29T00:00:00"/>
    <n v="59.99"/>
  </r>
  <r>
    <s v="TRX0024"/>
    <x v="133"/>
    <s v="CUST042"/>
    <x v="43"/>
    <s v="P008"/>
    <x v="2"/>
    <x v="2"/>
    <n v="3"/>
    <n v="149.99"/>
    <s v="Debit Card"/>
    <x v="2"/>
    <x v="1"/>
    <d v="2022-01-03T00:00:00"/>
    <n v="449.97"/>
  </r>
  <r>
    <s v="TRX0105"/>
    <x v="133"/>
    <s v="CUST048"/>
    <x v="16"/>
    <s v="P007"/>
    <x v="6"/>
    <x v="2"/>
    <n v="5"/>
    <n v="299.99"/>
    <s v="Credit Card"/>
    <x v="1"/>
    <x v="0"/>
    <d v="2023-02-02T00:00:00"/>
    <n v="1499.95"/>
  </r>
  <r>
    <s v="TRX0011"/>
    <x v="134"/>
    <s v="CUST040"/>
    <x v="30"/>
    <s v="P005"/>
    <x v="1"/>
    <x v="1"/>
    <n v="5"/>
    <n v="59.99"/>
    <s v="Debit Card"/>
    <x v="0"/>
    <x v="2"/>
    <d v="2023-09-08T00:00:00"/>
    <n v="299.95"/>
  </r>
  <r>
    <s v="TRX0187"/>
    <x v="135"/>
    <s v="CUST036"/>
    <x v="20"/>
    <s v="P004"/>
    <x v="7"/>
    <x v="1"/>
    <n v="3"/>
    <n v="79.989999999999995"/>
    <s v="Cash"/>
    <x v="4"/>
    <x v="1"/>
    <d v="2021-08-28T00:00:00"/>
    <n v="239.97"/>
  </r>
  <r>
    <s v="TRX0089"/>
    <x v="136"/>
    <s v="CUST021"/>
    <x v="2"/>
    <s v="P006"/>
    <x v="9"/>
    <x v="2"/>
    <n v="3"/>
    <n v="199.99"/>
    <s v="Cash"/>
    <x v="0"/>
    <x v="0"/>
    <d v="2022-06-23T00:00:00"/>
    <n v="599.97"/>
  </r>
  <r>
    <s v="TRX0196"/>
    <x v="136"/>
    <s v="CUST023"/>
    <x v="0"/>
    <s v="P010"/>
    <x v="8"/>
    <x v="0"/>
    <n v="2"/>
    <n v="89.99"/>
    <s v="PayPal"/>
    <x v="0"/>
    <x v="0"/>
    <d v="2023-11-27T00:00:00"/>
    <n v="179.98"/>
  </r>
  <r>
    <s v="TRX0118"/>
    <x v="137"/>
    <s v="CUST015"/>
    <x v="45"/>
    <s v="P008"/>
    <x v="2"/>
    <x v="2"/>
    <n v="2"/>
    <n v="149.99"/>
    <s v="Cash"/>
    <x v="1"/>
    <x v="1"/>
    <d v="2022-06-16T00:00:00"/>
    <n v="299.98"/>
  </r>
  <r>
    <s v="TRX0179"/>
    <x v="138"/>
    <s v="CUST029"/>
    <x v="23"/>
    <s v="P002"/>
    <x v="5"/>
    <x v="0"/>
    <n v="5"/>
    <n v="699.99"/>
    <s v="PayPal"/>
    <x v="1"/>
    <x v="1"/>
    <d v="2024-03-01T00:00:00"/>
    <n v="3499.95"/>
  </r>
  <r>
    <s v="TRX0168"/>
    <x v="138"/>
    <s v="CUST003"/>
    <x v="4"/>
    <s v="P008"/>
    <x v="2"/>
    <x v="2"/>
    <n v="3"/>
    <n v="149.99"/>
    <s v="PayPal"/>
    <x v="0"/>
    <x v="2"/>
    <d v="2022-03-13T00:00:00"/>
    <n v="449.97"/>
  </r>
  <r>
    <s v="TRX0214"/>
    <x v="139"/>
    <s v="CUST018"/>
    <x v="17"/>
    <s v="P001"/>
    <x v="4"/>
    <x v="0"/>
    <n v="3"/>
    <n v="899.99"/>
    <s v="Cash"/>
    <x v="4"/>
    <x v="2"/>
    <d v="2022-02-21T00:00:00"/>
    <n v="2699.97"/>
  </r>
  <r>
    <s v="TRX0221"/>
    <x v="139"/>
    <s v="CUST033"/>
    <x v="37"/>
    <s v="P006"/>
    <x v="9"/>
    <x v="2"/>
    <n v="3"/>
    <n v="199.99"/>
    <s v="Cash"/>
    <x v="3"/>
    <x v="1"/>
    <d v="2022-09-19T00:00:00"/>
    <n v="599.97"/>
  </r>
  <r>
    <s v="TRX0083"/>
    <x v="140"/>
    <s v="CUST017"/>
    <x v="6"/>
    <s v="P007"/>
    <x v="6"/>
    <x v="2"/>
    <n v="5"/>
    <n v="299.99"/>
    <s v="Cash"/>
    <x v="3"/>
    <x v="2"/>
    <d v="2023-08-04T00:00:00"/>
    <n v="1499.95"/>
  </r>
  <r>
    <s v="TRX0151"/>
    <x v="140"/>
    <s v="CUST040"/>
    <x v="30"/>
    <s v="P002"/>
    <x v="5"/>
    <x v="0"/>
    <n v="1"/>
    <n v="699.99"/>
    <s v="PayPal"/>
    <x v="3"/>
    <x v="0"/>
    <d v="2023-01-08T00:00:00"/>
    <n v="699.99"/>
  </r>
  <r>
    <s v="TRX0047"/>
    <x v="141"/>
    <s v="CUST042"/>
    <x v="43"/>
    <s v="P002"/>
    <x v="5"/>
    <x v="0"/>
    <n v="1"/>
    <n v="699.99"/>
    <s v="Cash"/>
    <x v="2"/>
    <x v="1"/>
    <d v="2022-01-22T00:00:00"/>
    <n v="699.99"/>
  </r>
  <r>
    <s v="TRX0200"/>
    <x v="141"/>
    <s v="CUST037"/>
    <x v="48"/>
    <s v="P008"/>
    <x v="2"/>
    <x v="2"/>
    <n v="4"/>
    <n v="149.99"/>
    <s v="PayPal"/>
    <x v="2"/>
    <x v="1"/>
    <d v="2021-08-04T00:00:00"/>
    <n v="599.96"/>
  </r>
  <r>
    <s v="TRX0062"/>
    <x v="141"/>
    <s v="CUST016"/>
    <x v="39"/>
    <s v="P010"/>
    <x v="8"/>
    <x v="0"/>
    <n v="5"/>
    <n v="89.99"/>
    <s v="PayPal"/>
    <x v="3"/>
    <x v="1"/>
    <d v="2023-08-02T00:00:00"/>
    <n v="449.95"/>
  </r>
  <r>
    <s v="TRX0182"/>
    <x v="142"/>
    <s v="CUST031"/>
    <x v="26"/>
    <s v="P006"/>
    <x v="9"/>
    <x v="2"/>
    <n v="2"/>
    <n v="199.99"/>
    <s v="Cash"/>
    <x v="0"/>
    <x v="1"/>
    <d v="2022-01-12T00:00:00"/>
    <n v="399.98"/>
  </r>
  <r>
    <s v="TRX0229"/>
    <x v="143"/>
    <s v="CUST015"/>
    <x v="45"/>
    <s v="P005"/>
    <x v="1"/>
    <x v="1"/>
    <n v="4"/>
    <n v="59.99"/>
    <s v="Cash"/>
    <x v="3"/>
    <x v="2"/>
    <d v="2023-05-24T00:00:00"/>
    <n v="239.96"/>
  </r>
  <r>
    <s v="TRX0048"/>
    <x v="143"/>
    <s v="CUST048"/>
    <x v="16"/>
    <s v="P007"/>
    <x v="6"/>
    <x v="2"/>
    <n v="2"/>
    <n v="299.99"/>
    <s v="PayPal"/>
    <x v="1"/>
    <x v="0"/>
    <d v="2022-01-15T00:00:00"/>
    <n v="599.98"/>
  </r>
  <r>
    <s v="TRX0227"/>
    <x v="144"/>
    <s v="CUST017"/>
    <x v="6"/>
    <s v="P008"/>
    <x v="2"/>
    <x v="2"/>
    <n v="2"/>
    <n v="149.99"/>
    <s v="Cash"/>
    <x v="0"/>
    <x v="0"/>
    <d v="2023-05-22T00:00:00"/>
    <n v="299.98"/>
  </r>
  <r>
    <s v="TRX0226"/>
    <x v="145"/>
    <s v="CUST039"/>
    <x v="40"/>
    <s v="P002"/>
    <x v="5"/>
    <x v="0"/>
    <n v="5"/>
    <n v="699.99"/>
    <s v="Debit Card"/>
    <x v="4"/>
    <x v="1"/>
    <d v="2023-08-23T00:00:00"/>
    <n v="3499.95"/>
  </r>
  <r>
    <s v="TRX0053"/>
    <x v="146"/>
    <s v="CUST043"/>
    <x v="11"/>
    <s v="P005"/>
    <x v="1"/>
    <x v="1"/>
    <n v="5"/>
    <n v="59.99"/>
    <s v="Cash"/>
    <x v="3"/>
    <x v="1"/>
    <d v="2023-12-31T00:00:00"/>
    <n v="299.95"/>
  </r>
  <r>
    <s v="TRX0233"/>
    <x v="147"/>
    <s v="CUST023"/>
    <x v="0"/>
    <s v="P010"/>
    <x v="8"/>
    <x v="0"/>
    <n v="2"/>
    <n v="89.99"/>
    <s v="Credit Card"/>
    <x v="3"/>
    <x v="1"/>
    <d v="2024-01-04T00:00:00"/>
    <n v="179.98"/>
  </r>
  <r>
    <s v="TRX0175"/>
    <x v="147"/>
    <s v="CUST030"/>
    <x v="22"/>
    <s v="P009"/>
    <x v="0"/>
    <x v="0"/>
    <n v="5"/>
    <n v="249.99"/>
    <s v="Cash"/>
    <x v="4"/>
    <x v="2"/>
    <d v="2021-12-10T00:00:00"/>
    <n v="1249.95"/>
  </r>
  <r>
    <s v="TRX0186"/>
    <x v="148"/>
    <s v="CUST039"/>
    <x v="40"/>
    <s v="P008"/>
    <x v="2"/>
    <x v="2"/>
    <n v="2"/>
    <n v="149.99"/>
    <s v="PayPal"/>
    <x v="0"/>
    <x v="1"/>
    <d v="2022-03-12T00:00:00"/>
    <n v="299.98"/>
  </r>
  <r>
    <s v="TRX0016"/>
    <x v="148"/>
    <s v="CUST035"/>
    <x v="28"/>
    <s v="P001"/>
    <x v="4"/>
    <x v="0"/>
    <n v="5"/>
    <n v="899.99"/>
    <s v="PayPal"/>
    <x v="4"/>
    <x v="1"/>
    <d v="2024-04-07T00:00:00"/>
    <n v="4499.95"/>
  </r>
  <r>
    <s v="TRX0199"/>
    <x v="148"/>
    <s v="CUST017"/>
    <x v="6"/>
    <s v="P008"/>
    <x v="2"/>
    <x v="2"/>
    <n v="4"/>
    <n v="149.99"/>
    <s v="Cash"/>
    <x v="0"/>
    <x v="2"/>
    <d v="2023-12-03T00:00:00"/>
    <n v="599.96"/>
  </r>
  <r>
    <s v="TRX0038"/>
    <x v="149"/>
    <s v="CUST035"/>
    <x v="28"/>
    <s v="P009"/>
    <x v="0"/>
    <x v="0"/>
    <n v="1"/>
    <n v="249.99"/>
    <s v="Cash"/>
    <x v="2"/>
    <x v="2"/>
    <d v="2023-07-10T00:00:00"/>
    <n v="249.99"/>
  </r>
  <r>
    <s v="TRX0014"/>
    <x v="150"/>
    <s v="CUST033"/>
    <x v="37"/>
    <s v="P005"/>
    <x v="1"/>
    <x v="1"/>
    <n v="2"/>
    <n v="59.99"/>
    <s v="Credit Card"/>
    <x v="3"/>
    <x v="0"/>
    <d v="2023-09-24T00:00:00"/>
    <n v="119.98"/>
  </r>
  <r>
    <s v="TRX0003"/>
    <x v="151"/>
    <s v="CUST002"/>
    <x v="25"/>
    <s v="P008"/>
    <x v="2"/>
    <x v="2"/>
    <n v="2"/>
    <n v="149.99"/>
    <s v="Cash"/>
    <x v="3"/>
    <x v="1"/>
    <d v="2023-11-03T00:00:00"/>
    <n v="299.98"/>
  </r>
  <r>
    <s v="TRX0124"/>
    <x v="151"/>
    <s v="CUST040"/>
    <x v="30"/>
    <s v="P001"/>
    <x v="4"/>
    <x v="0"/>
    <n v="3"/>
    <n v="899.99"/>
    <s v="Debit Card"/>
    <x v="2"/>
    <x v="1"/>
    <d v="2022-11-11T00:00:00"/>
    <n v="2699.97"/>
  </r>
  <r>
    <s v="TRX0013"/>
    <x v="151"/>
    <s v="CUST024"/>
    <x v="5"/>
    <s v="P001"/>
    <x v="4"/>
    <x v="0"/>
    <n v="3"/>
    <n v="899.99"/>
    <s v="PayPal"/>
    <x v="2"/>
    <x v="0"/>
    <d v="2023-02-18T00:00:00"/>
    <n v="2699.97"/>
  </r>
  <r>
    <s v="TRX0019"/>
    <x v="152"/>
    <s v="CUST023"/>
    <x v="0"/>
    <s v="P007"/>
    <x v="6"/>
    <x v="2"/>
    <n v="3"/>
    <n v="299.99"/>
    <s v="Credit Card"/>
    <x v="3"/>
    <x v="1"/>
    <d v="2023-11-04T00:00:00"/>
    <n v="899.97"/>
  </r>
  <r>
    <s v="TRX0050"/>
    <x v="153"/>
    <s v="CUST001"/>
    <x v="49"/>
    <s v="P008"/>
    <x v="2"/>
    <x v="2"/>
    <n v="4"/>
    <n v="149.99"/>
    <s v="PayPal"/>
    <x v="3"/>
    <x v="2"/>
    <d v="2021-12-30T00:00:00"/>
    <n v="599.96"/>
  </r>
  <r>
    <s v="TRX0152"/>
    <x v="154"/>
    <s v="CUST044"/>
    <x v="19"/>
    <s v="P004"/>
    <x v="7"/>
    <x v="1"/>
    <n v="4"/>
    <n v="79.989999999999995"/>
    <s v="Credit Card"/>
    <x v="0"/>
    <x v="0"/>
    <d v="2023-12-28T00:00:00"/>
    <n v="319.95999999999998"/>
  </r>
  <r>
    <s v="TRX0213"/>
    <x v="155"/>
    <s v="CUST020"/>
    <x v="36"/>
    <s v="P010"/>
    <x v="8"/>
    <x v="0"/>
    <n v="5"/>
    <n v="89.99"/>
    <s v="PayPal"/>
    <x v="1"/>
    <x v="0"/>
    <d v="2022-05-23T00:00:00"/>
    <n v="449.95"/>
  </r>
  <r>
    <s v="TRX0197"/>
    <x v="156"/>
    <s v="CUST048"/>
    <x v="16"/>
    <s v="P008"/>
    <x v="2"/>
    <x v="2"/>
    <n v="3"/>
    <n v="149.99"/>
    <s v="PayPal"/>
    <x v="0"/>
    <x v="2"/>
    <d v="2023-09-02T00:00:00"/>
    <n v="449.97"/>
  </r>
  <r>
    <s v="TRX0250"/>
    <x v="156"/>
    <s v="CUST026"/>
    <x v="8"/>
    <s v="P010"/>
    <x v="8"/>
    <x v="0"/>
    <n v="2"/>
    <n v="89.99"/>
    <s v="Debit Card"/>
    <x v="3"/>
    <x v="1"/>
    <d v="2021-11-22T00:00:00"/>
    <n v="179.98"/>
  </r>
  <r>
    <s v="TRX0068"/>
    <x v="157"/>
    <s v="CUST044"/>
    <x v="19"/>
    <s v="P002"/>
    <x v="5"/>
    <x v="0"/>
    <n v="2"/>
    <n v="699.99"/>
    <s v="PayPal"/>
    <x v="2"/>
    <x v="2"/>
    <d v="2022-02-26T00:00:00"/>
    <n v="1399.98"/>
  </r>
  <r>
    <s v="TRX0144"/>
    <x v="158"/>
    <s v="CUST029"/>
    <x v="23"/>
    <s v="P001"/>
    <x v="4"/>
    <x v="0"/>
    <n v="3"/>
    <n v="899.99"/>
    <s v="Cash"/>
    <x v="0"/>
    <x v="2"/>
    <d v="2023-01-27T00:00:00"/>
    <n v="2699.97"/>
  </r>
  <r>
    <s v="TRX0039"/>
    <x v="159"/>
    <s v="CUST048"/>
    <x v="16"/>
    <s v="P004"/>
    <x v="7"/>
    <x v="1"/>
    <n v="3"/>
    <n v="79.989999999999995"/>
    <s v="Credit Card"/>
    <x v="2"/>
    <x v="0"/>
    <d v="2021-11-11T00:00:00"/>
    <n v="239.97"/>
  </r>
  <r>
    <s v="TRX0116"/>
    <x v="160"/>
    <s v="CUST009"/>
    <x v="7"/>
    <s v="P010"/>
    <x v="8"/>
    <x v="0"/>
    <n v="1"/>
    <n v="89.99"/>
    <s v="Debit Card"/>
    <x v="4"/>
    <x v="0"/>
    <d v="2024-02-24T00:00:00"/>
    <n v="89.99"/>
  </r>
  <r>
    <s v="TRX0120"/>
    <x v="161"/>
    <s v="CUST045"/>
    <x v="46"/>
    <s v="P002"/>
    <x v="5"/>
    <x v="0"/>
    <n v="3"/>
    <n v="699.99"/>
    <s v="PayPal"/>
    <x v="2"/>
    <x v="0"/>
    <d v="2022-12-14T00:00:00"/>
    <n v="2099.9699999999998"/>
  </r>
  <r>
    <s v="TRX0103"/>
    <x v="161"/>
    <s v="CUST039"/>
    <x v="40"/>
    <s v="P010"/>
    <x v="8"/>
    <x v="0"/>
    <n v="2"/>
    <n v="89.99"/>
    <s v="Debit Card"/>
    <x v="4"/>
    <x v="0"/>
    <d v="2023-06-11T00:00:00"/>
    <n v="179.98"/>
  </r>
  <r>
    <s v="TRX0064"/>
    <x v="161"/>
    <s v="CUST031"/>
    <x v="26"/>
    <s v="P010"/>
    <x v="8"/>
    <x v="0"/>
    <n v="3"/>
    <n v="89.99"/>
    <s v="Debit Card"/>
    <x v="2"/>
    <x v="1"/>
    <d v="2022-11-13T00:00:00"/>
    <n v="269.97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F77DC7-0E7B-4AAB-B677-51D567EACD87}"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Name">
  <location ref="P2:Q53" firstHeaderRow="1" firstDataRow="1" firstDataCol="1"/>
  <pivotFields count="17">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axis="axisRow" showAll="0" sortType="descending">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4"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51">
    <i>
      <x v="32"/>
    </i>
    <i>
      <x v="11"/>
    </i>
    <i>
      <x v="1"/>
    </i>
    <i>
      <x v="36"/>
    </i>
    <i>
      <x v="37"/>
    </i>
    <i>
      <x v="9"/>
    </i>
    <i>
      <x v="24"/>
    </i>
    <i>
      <x v="6"/>
    </i>
    <i>
      <x v="27"/>
    </i>
    <i>
      <x v="22"/>
    </i>
    <i>
      <x v="18"/>
    </i>
    <i>
      <x v="16"/>
    </i>
    <i>
      <x v="43"/>
    </i>
    <i>
      <x v="33"/>
    </i>
    <i>
      <x v="38"/>
    </i>
    <i>
      <x v="2"/>
    </i>
    <i>
      <x v="45"/>
    </i>
    <i>
      <x v="17"/>
    </i>
    <i>
      <x v="44"/>
    </i>
    <i>
      <x v="4"/>
    </i>
    <i>
      <x v="10"/>
    </i>
    <i>
      <x v="48"/>
    </i>
    <i>
      <x v="49"/>
    </i>
    <i>
      <x v="20"/>
    </i>
    <i>
      <x v="25"/>
    </i>
    <i>
      <x v="34"/>
    </i>
    <i>
      <x v="35"/>
    </i>
    <i>
      <x v="15"/>
    </i>
    <i>
      <x v="5"/>
    </i>
    <i>
      <x v="39"/>
    </i>
    <i>
      <x v="12"/>
    </i>
    <i>
      <x v="41"/>
    </i>
    <i>
      <x v="26"/>
    </i>
    <i>
      <x v="46"/>
    </i>
    <i>
      <x v="30"/>
    </i>
    <i>
      <x v="29"/>
    </i>
    <i>
      <x v="47"/>
    </i>
    <i>
      <x v="31"/>
    </i>
    <i>
      <x v="7"/>
    </i>
    <i>
      <x v="42"/>
    </i>
    <i>
      <x/>
    </i>
    <i>
      <x v="14"/>
    </i>
    <i>
      <x v="28"/>
    </i>
    <i>
      <x v="13"/>
    </i>
    <i>
      <x v="3"/>
    </i>
    <i>
      <x v="40"/>
    </i>
    <i>
      <x v="21"/>
    </i>
    <i>
      <x v="8"/>
    </i>
    <i>
      <x v="23"/>
    </i>
    <i>
      <x v="19"/>
    </i>
    <i t="grand">
      <x/>
    </i>
  </rowItems>
  <colItems count="1">
    <i/>
  </colItems>
  <dataFields count="1">
    <dataField name="Sum of Total_Amount" fld="13" baseField="0" baseItem="0"/>
  </dataFields>
  <formats count="6">
    <format dxfId="17">
      <pivotArea type="all" dataOnly="0" outline="0" fieldPosition="0"/>
    </format>
    <format dxfId="16">
      <pivotArea outline="0" collapsedLevelsAreSubtotals="1" fieldPosition="0"/>
    </format>
    <format dxfId="15">
      <pivotArea field="3" type="button" dataOnly="0" labelOnly="1" outline="0" axis="axisRow" fieldPosition="0"/>
    </format>
    <format dxfId="14">
      <pivotArea dataOnly="0" labelOnly="1" fieldPosition="0">
        <references count="1">
          <reference field="3" count="0"/>
        </references>
      </pivotArea>
    </format>
    <format dxfId="13">
      <pivotArea dataOnly="0" labelOnly="1" grandRow="1" outline="0" fieldPosition="0"/>
    </format>
    <format dxfId="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229876-5343-4975-8569-575C36EA7F06}"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2:S13" firstHeaderRow="1" firstDataRow="1" firstDataCol="1"/>
  <pivotFields count="17">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axis="axisRow" showAll="0" sortType="descending">
      <items count="11">
        <item x="1"/>
        <item x="2"/>
        <item x="7"/>
        <item x="6"/>
        <item x="3"/>
        <item x="8"/>
        <item x="4"/>
        <item x="0"/>
        <item x="9"/>
        <item x="5"/>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11">
    <i>
      <x v="1"/>
    </i>
    <i>
      <x v="5"/>
    </i>
    <i>
      <x v="9"/>
    </i>
    <i>
      <x/>
    </i>
    <i>
      <x v="3"/>
    </i>
    <i>
      <x v="7"/>
    </i>
    <i>
      <x v="6"/>
    </i>
    <i>
      <x v="4"/>
    </i>
    <i>
      <x v="8"/>
    </i>
    <i>
      <x v="2"/>
    </i>
    <i t="grand">
      <x/>
    </i>
  </rowItems>
  <colItems count="1">
    <i/>
  </colItems>
  <dataFields count="1">
    <dataField name="Count of Quantity" fld="7" subtotal="count" baseField="0" baseItem="0"/>
  </dataFields>
  <formats count="6">
    <format dxfId="11">
      <pivotArea type="all" dataOnly="0" outline="0" fieldPosition="0"/>
    </format>
    <format dxfId="10">
      <pivotArea outline="0" collapsedLevelsAreSubtotals="1" fieldPosition="0"/>
    </format>
    <format dxfId="9">
      <pivotArea field="5" type="button" dataOnly="0" labelOnly="1" outline="0" axis="axisRow" fieldPosition="0"/>
    </format>
    <format dxfId="8">
      <pivotArea dataOnly="0" labelOnly="1" fieldPosition="0">
        <references count="1">
          <reference field="5" count="0"/>
        </references>
      </pivotArea>
    </format>
    <format dxfId="7">
      <pivotArea dataOnly="0" labelOnly="1" grandRow="1" outline="0" fieldPosition="0"/>
    </format>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B7B068-5B3C-4AD9-A168-4BC213E1ECCC}" name="PivotTable5"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22:K33" firstHeaderRow="1" firstDataRow="1" firstDataCol="1"/>
  <pivotFields count="17">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axis="axisRow" showAll="0" sortType="descending">
      <items count="11">
        <item x="1"/>
        <item x="2"/>
        <item x="7"/>
        <item x="6"/>
        <item x="3"/>
        <item x="8"/>
        <item x="4"/>
        <item x="0"/>
        <item x="9"/>
        <item x="5"/>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11">
    <i>
      <x v="1"/>
    </i>
    <i>
      <x v="5"/>
    </i>
    <i>
      <x v="9"/>
    </i>
    <i>
      <x/>
    </i>
    <i>
      <x v="3"/>
    </i>
    <i>
      <x v="7"/>
    </i>
    <i>
      <x v="6"/>
    </i>
    <i>
      <x v="4"/>
    </i>
    <i>
      <x v="8"/>
    </i>
    <i>
      <x v="2"/>
    </i>
    <i t="grand">
      <x/>
    </i>
  </rowItems>
  <colItems count="1">
    <i/>
  </colItems>
  <dataFields count="1">
    <dataField name="Count of Quantity" fld="7" subtotal="count" baseField="5" baseItem="0"/>
  </dataFields>
  <chartFormats count="2">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594FBC-1063-475E-937A-A831AA7E46A9}"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3:B27" firstHeaderRow="1" firstDataRow="1" firstDataCol="1"/>
  <pivotFields count="17">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numFmtId="164"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4">
    <i>
      <x/>
    </i>
    <i>
      <x v="1"/>
    </i>
    <i>
      <x v="2"/>
    </i>
    <i t="grand">
      <x/>
    </i>
  </rowItems>
  <colItems count="1">
    <i/>
  </colItems>
  <dataFields count="1">
    <dataField name="Sum of Total_Amount" fld="13"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6" count="1" selected="0">
            <x v="0"/>
          </reference>
        </references>
      </pivotArea>
    </chartFormat>
    <chartFormat chart="8" format="10">
      <pivotArea type="data" outline="0" fieldPosition="0">
        <references count="2">
          <reference field="4294967294" count="1" selected="0">
            <x v="0"/>
          </reference>
          <reference field="6" count="1" selected="0">
            <x v="1"/>
          </reference>
        </references>
      </pivotArea>
    </chartFormat>
    <chartFormat chart="8"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67670D-C14A-4693-8311-02E2FCD3D8E6}"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17">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pivotField showAll="0"/>
    <pivotField showAll="0"/>
    <pivotField showAll="0"/>
    <pivotField axis="axisRow" showAll="0" sortType="descending">
      <items count="6">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64"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6">
    <i>
      <x v="1"/>
    </i>
    <i>
      <x v="2"/>
    </i>
    <i>
      <x v="4"/>
    </i>
    <i>
      <x/>
    </i>
    <i>
      <x v="3"/>
    </i>
    <i t="grand">
      <x/>
    </i>
  </rowItems>
  <colItems count="1">
    <i/>
  </colItems>
  <dataFields count="1">
    <dataField name="Sum of Total_Amount" fld="13"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1"/>
          </reference>
        </references>
      </pivotArea>
    </chartFormat>
    <chartFormat chart="0" format="2">
      <pivotArea type="data" outline="0" fieldPosition="0">
        <references count="2">
          <reference field="4294967294" count="1" selected="0">
            <x v="0"/>
          </reference>
          <reference field="10" count="1" selected="0">
            <x v="4"/>
          </reference>
        </references>
      </pivotArea>
    </chartFormat>
    <chartFormat chart="0" format="3">
      <pivotArea type="data" outline="0" fieldPosition="0">
        <references count="2">
          <reference field="4294967294" count="1" selected="0">
            <x v="0"/>
          </reference>
          <reference field="10" count="1" selected="0">
            <x v="3"/>
          </reference>
        </references>
      </pivotArea>
    </chartFormat>
    <chartFormat chart="0" format="4">
      <pivotArea type="data" outline="0" fieldPosition="0">
        <references count="2">
          <reference field="4294967294" count="1" selected="0">
            <x v="0"/>
          </reference>
          <reference field="10" count="1" selected="0">
            <x v="2"/>
          </reference>
        </references>
      </pivotArea>
    </chartFormat>
    <chartFormat chart="0" format="5">
      <pivotArea type="data" outline="0" fieldPosition="0">
        <references count="2">
          <reference field="4294967294" count="1" selected="0">
            <x v="0"/>
          </reference>
          <reference field="10" count="1" selected="0">
            <x v="0"/>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10" count="1" selected="0">
            <x v="0"/>
          </reference>
        </references>
      </pivotArea>
    </chartFormat>
    <chartFormat chart="2" format="14">
      <pivotArea type="data" outline="0" fieldPosition="0">
        <references count="2">
          <reference field="4294967294" count="1" selected="0">
            <x v="0"/>
          </reference>
          <reference field="10" count="1" selected="0">
            <x v="1"/>
          </reference>
        </references>
      </pivotArea>
    </chartFormat>
    <chartFormat chart="2" format="15">
      <pivotArea type="data" outline="0" fieldPosition="0">
        <references count="2">
          <reference field="4294967294" count="1" selected="0">
            <x v="0"/>
          </reference>
          <reference field="10" count="1" selected="0">
            <x v="2"/>
          </reference>
        </references>
      </pivotArea>
    </chartFormat>
    <chartFormat chart="2" format="16">
      <pivotArea type="data" outline="0" fieldPosition="0">
        <references count="2">
          <reference field="4294967294" count="1" selected="0">
            <x v="0"/>
          </reference>
          <reference field="10" count="1" selected="0">
            <x v="3"/>
          </reference>
        </references>
      </pivotArea>
    </chartFormat>
    <chartFormat chart="2" format="17">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FBE8460-7672-4010-B158-E62512397FD5}" name="PivotTable6"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J2:K18" firstHeaderRow="1" firstDataRow="1" firstDataCol="1"/>
  <pivotFields count="17">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pivotField showAll="0"/>
    <pivotField showAll="0"/>
    <pivotField showAll="0"/>
    <pivotField showAll="0"/>
    <pivotField showAll="0"/>
    <pivotField numFmtId="164"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2">
    <field x="16"/>
    <field x="14"/>
  </rowFields>
  <rowItems count="16">
    <i>
      <x v="1"/>
    </i>
    <i r="1">
      <x v="4"/>
    </i>
    <i r="1">
      <x v="5"/>
    </i>
    <i r="1">
      <x v="6"/>
    </i>
    <i r="1">
      <x v="7"/>
    </i>
    <i r="1">
      <x v="8"/>
    </i>
    <i r="1">
      <x v="9"/>
    </i>
    <i r="1">
      <x v="10"/>
    </i>
    <i r="1">
      <x v="11"/>
    </i>
    <i r="1">
      <x v="12"/>
    </i>
    <i>
      <x v="2"/>
    </i>
    <i r="1">
      <x v="1"/>
    </i>
    <i r="1">
      <x v="2"/>
    </i>
    <i r="1">
      <x v="3"/>
    </i>
    <i r="1">
      <x v="4"/>
    </i>
    <i t="grand">
      <x/>
    </i>
  </rowItems>
  <colItems count="1">
    <i/>
  </colItems>
  <dataFields count="1">
    <dataField name="Sum of Total_Amount" fld="13"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6AD3B23-717F-4989-8772-BC0D8E7B1E85}" sourceName="Region">
  <pivotTables>
    <pivotTable tabId="9" name="PivotTable2"/>
  </pivotTables>
  <data>
    <tabular pivotCacheId="383629469">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F2FC1A2-99EC-45CC-9509-57C620F76B7A}"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1841326-82AF-467A-9F96-DD9668841FF6}" name="Table2" displayName="Table2" ref="A2:N252" totalsRowShown="0" headerRowDxfId="18" dataDxfId="19">
  <autoFilter ref="A2:N252" xr:uid="{21841326-82AF-467A-9F96-DD9668841FF6}"/>
  <tableColumns count="14">
    <tableColumn id="1" xr3:uid="{965FF1A5-BB98-45BF-A154-2987D46A3680}" name="Transaction_ID" dataDxfId="33"/>
    <tableColumn id="2" xr3:uid="{C1B9F80D-4E12-4DAC-8B7D-435B24590937}" name="Date" dataDxfId="32"/>
    <tableColumn id="3" xr3:uid="{0797F7B6-6B37-413C-8FD8-E1D47B218CCE}" name="Customer_ID" dataDxfId="31"/>
    <tableColumn id="4" xr3:uid="{574D84B8-824F-44FA-8ADC-46216B37FA2E}" name="Customer_Name" dataDxfId="30"/>
    <tableColumn id="5" xr3:uid="{F5B5402A-33DC-4392-99DE-6AFEAE13541D}" name="Product_ID" dataDxfId="29"/>
    <tableColumn id="6" xr3:uid="{D6A6D6A7-3E16-4FB3-976D-882EEED7A8C0}" name="Product_Name" dataDxfId="28"/>
    <tableColumn id="7" xr3:uid="{0B4E6C2E-CE21-4DB3-84FF-A92A49748984}" name="Category" dataDxfId="27"/>
    <tableColumn id="8" xr3:uid="{C1F6AABC-3993-4F77-93D4-FD10A0DC0144}" name="Quantity" dataDxfId="26"/>
    <tableColumn id="9" xr3:uid="{18C2CB88-1C31-4F20-9244-C0C2F613C895}" name="Unit_Price" dataDxfId="25"/>
    <tableColumn id="10" xr3:uid="{4A3938CD-A690-438A-8420-972A02F35547}" name="Payment_Method" dataDxfId="24"/>
    <tableColumn id="11" xr3:uid="{AE3C58D5-B3F0-44D3-98DD-D256A05F56F9}" name="Region" dataDxfId="23"/>
    <tableColumn id="12" xr3:uid="{22E2B808-434A-4080-BBCE-0EF302C54E31}" name="Customer_Segment" dataDxfId="22"/>
    <tableColumn id="13" xr3:uid="{5A8118F8-244D-4E1B-9E16-676F8F91D79B}" name="Customer_Since" dataDxfId="21"/>
    <tableColumn id="14" xr3:uid="{69BE931F-C262-4F8D-B4BA-E9C737B6DB71}" name="Total_sales" dataDxfId="2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70AED14-5DCE-42A7-96AD-6CF5B1D67B5B}" sourceName="Date">
  <pivotTables>
    <pivotTable tabId="9" name="PivotTable6"/>
  </pivotTables>
  <state minimalRefreshVersion="6" lastRefreshVersion="6" pivotCacheId="383629469"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E36A20BA-5501-4D30-939B-9A0528F1E125}" cache="NativeTimeline_Date" caption="Date" level="2" selectionLevel="2" scrollPosition="2025-05-10T00:00:00" style="TimeSlicerStyleLight3"/>
</timeline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drawing" Target="../drawings/drawing2.xml"/><Relationship Id="rId4"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workbookViewId="0">
      <selection activeCell="AX20" sqref="AX20"/>
    </sheetView>
  </sheetViews>
  <sheetFormatPr defaultColWidth="14.44140625" defaultRowHeight="15" customHeight="1" x14ac:dyDescent="0.3"/>
  <cols>
    <col min="1" max="1" width="94.88671875" customWidth="1"/>
    <col min="2" max="25" width="8.6640625" customWidth="1"/>
  </cols>
  <sheetData>
    <row r="1" spans="1:25" ht="14.4" x14ac:dyDescent="0.3">
      <c r="A1" s="1" t="s">
        <v>0</v>
      </c>
      <c r="B1" s="2"/>
      <c r="C1" s="2"/>
      <c r="D1" s="2"/>
      <c r="E1" s="2"/>
      <c r="F1" s="2"/>
      <c r="G1" s="2"/>
      <c r="H1" s="2"/>
      <c r="I1" s="2"/>
      <c r="J1" s="2"/>
      <c r="K1" s="2"/>
      <c r="L1" s="2"/>
      <c r="M1" s="2"/>
      <c r="N1" s="2"/>
      <c r="O1" s="2"/>
      <c r="P1" s="2"/>
      <c r="Q1" s="2"/>
      <c r="R1" s="2"/>
      <c r="S1" s="2"/>
      <c r="T1" s="2"/>
      <c r="U1" s="2"/>
      <c r="V1" s="2"/>
      <c r="W1" s="2"/>
      <c r="X1" s="2"/>
      <c r="Y1" s="2"/>
    </row>
    <row r="2" spans="1:25" ht="14.4" x14ac:dyDescent="0.3">
      <c r="A2" s="3" t="s">
        <v>1</v>
      </c>
      <c r="B2" s="2"/>
      <c r="C2" s="2"/>
      <c r="D2" s="2"/>
      <c r="E2" s="2"/>
      <c r="F2" s="2"/>
      <c r="G2" s="2"/>
      <c r="H2" s="2"/>
      <c r="I2" s="2"/>
      <c r="J2" s="2"/>
      <c r="K2" s="2"/>
      <c r="L2" s="2"/>
      <c r="M2" s="2"/>
      <c r="N2" s="2"/>
      <c r="O2" s="2"/>
      <c r="P2" s="2"/>
      <c r="Q2" s="2"/>
      <c r="R2" s="2"/>
      <c r="S2" s="2"/>
      <c r="T2" s="2"/>
      <c r="U2" s="2"/>
      <c r="V2" s="2"/>
      <c r="W2" s="2"/>
      <c r="X2" s="2"/>
      <c r="Y2" s="2"/>
    </row>
    <row r="3" spans="1:25" ht="14.4" x14ac:dyDescent="0.3">
      <c r="A3" s="2"/>
      <c r="B3" s="2"/>
      <c r="C3" s="2"/>
      <c r="D3" s="2"/>
      <c r="E3" s="2"/>
      <c r="F3" s="2"/>
      <c r="G3" s="2"/>
      <c r="H3" s="2"/>
      <c r="I3" s="2"/>
      <c r="J3" s="2"/>
      <c r="K3" s="2"/>
      <c r="L3" s="2"/>
      <c r="M3" s="2"/>
      <c r="N3" s="2"/>
      <c r="O3" s="2"/>
      <c r="P3" s="2"/>
      <c r="Q3" s="2"/>
      <c r="R3" s="2"/>
      <c r="S3" s="2"/>
      <c r="T3" s="2"/>
      <c r="U3" s="2"/>
      <c r="V3" s="2"/>
      <c r="W3" s="2"/>
      <c r="X3" s="2"/>
      <c r="Y3" s="2"/>
    </row>
    <row r="4" spans="1:25" ht="14.4" x14ac:dyDescent="0.3">
      <c r="A4" s="2"/>
      <c r="B4" s="2"/>
      <c r="C4" s="2"/>
      <c r="D4" s="2"/>
      <c r="E4" s="2"/>
      <c r="F4" s="2"/>
      <c r="G4" s="2"/>
      <c r="H4" s="2"/>
      <c r="I4" s="2"/>
      <c r="J4" s="2"/>
      <c r="K4" s="2"/>
      <c r="L4" s="2"/>
      <c r="M4" s="2"/>
      <c r="N4" s="2"/>
      <c r="O4" s="2"/>
      <c r="P4" s="2"/>
      <c r="Q4" s="2"/>
      <c r="R4" s="2"/>
      <c r="S4" s="2"/>
      <c r="T4" s="2"/>
      <c r="U4" s="2"/>
      <c r="V4" s="2"/>
      <c r="W4" s="2"/>
      <c r="X4" s="2"/>
      <c r="Y4" s="2"/>
    </row>
    <row r="5" spans="1:25" ht="14.4" x14ac:dyDescent="0.3">
      <c r="A5" s="2"/>
      <c r="B5" s="2"/>
      <c r="C5" s="2"/>
      <c r="D5" s="2"/>
      <c r="E5" s="2"/>
      <c r="F5" s="2"/>
      <c r="G5" s="2"/>
      <c r="H5" s="2"/>
      <c r="I5" s="2"/>
      <c r="J5" s="2"/>
      <c r="K5" s="2"/>
      <c r="L5" s="2"/>
      <c r="M5" s="2"/>
      <c r="N5" s="2"/>
      <c r="O5" s="2"/>
      <c r="P5" s="2"/>
      <c r="Q5" s="2"/>
      <c r="R5" s="2"/>
      <c r="S5" s="2"/>
      <c r="T5" s="2"/>
      <c r="U5" s="2"/>
      <c r="V5" s="2"/>
      <c r="W5" s="2"/>
      <c r="X5" s="2"/>
      <c r="Y5" s="2"/>
    </row>
    <row r="6" spans="1:25" ht="14.4" x14ac:dyDescent="0.3">
      <c r="A6" s="2"/>
      <c r="B6" s="2"/>
      <c r="C6" s="2"/>
      <c r="D6" s="2"/>
      <c r="E6" s="2"/>
      <c r="F6" s="2"/>
      <c r="G6" s="2"/>
      <c r="H6" s="2"/>
      <c r="I6" s="2"/>
      <c r="J6" s="2"/>
      <c r="K6" s="2"/>
      <c r="L6" s="2"/>
      <c r="M6" s="2"/>
      <c r="N6" s="2"/>
      <c r="O6" s="2"/>
      <c r="P6" s="2"/>
      <c r="Q6" s="2"/>
      <c r="R6" s="2"/>
      <c r="S6" s="2"/>
      <c r="T6" s="2"/>
      <c r="U6" s="2"/>
      <c r="V6" s="2"/>
      <c r="W6" s="2"/>
      <c r="X6" s="2"/>
      <c r="Y6" s="2"/>
    </row>
    <row r="7" spans="1:25" ht="14.4" x14ac:dyDescent="0.3">
      <c r="A7" s="2"/>
      <c r="B7" s="2"/>
      <c r="C7" s="2"/>
      <c r="D7" s="2"/>
      <c r="E7" s="2"/>
      <c r="F7" s="2"/>
      <c r="G7" s="2"/>
      <c r="H7" s="2"/>
      <c r="I7" s="2"/>
      <c r="J7" s="2"/>
      <c r="K7" s="2"/>
      <c r="L7" s="2"/>
      <c r="M7" s="2"/>
      <c r="N7" s="2"/>
      <c r="O7" s="2"/>
      <c r="P7" s="2"/>
      <c r="Q7" s="2"/>
      <c r="R7" s="2"/>
      <c r="S7" s="2"/>
      <c r="T7" s="2"/>
      <c r="U7" s="2"/>
      <c r="V7" s="2"/>
      <c r="W7" s="2"/>
      <c r="X7" s="2"/>
      <c r="Y7" s="2"/>
    </row>
    <row r="8" spans="1:25" ht="14.4" x14ac:dyDescent="0.3">
      <c r="A8" s="2"/>
      <c r="B8" s="2"/>
      <c r="C8" s="2"/>
      <c r="D8" s="2"/>
      <c r="E8" s="2"/>
      <c r="F8" s="2"/>
      <c r="G8" s="2"/>
      <c r="H8" s="2"/>
      <c r="I8" s="2"/>
      <c r="J8" s="2"/>
      <c r="K8" s="2"/>
      <c r="L8" s="2"/>
      <c r="M8" s="2"/>
      <c r="N8" s="2"/>
      <c r="O8" s="2"/>
      <c r="P8" s="2"/>
      <c r="Q8" s="2"/>
      <c r="R8" s="2"/>
      <c r="S8" s="2"/>
      <c r="T8" s="2"/>
      <c r="U8" s="2"/>
      <c r="V8" s="2"/>
      <c r="W8" s="2"/>
      <c r="X8" s="2"/>
      <c r="Y8" s="2"/>
    </row>
    <row r="9" spans="1:25" ht="14.4" x14ac:dyDescent="0.3">
      <c r="A9" s="2"/>
      <c r="B9" s="2"/>
      <c r="C9" s="2"/>
      <c r="D9" s="2"/>
      <c r="E9" s="2"/>
      <c r="F9" s="2"/>
      <c r="G9" s="2"/>
      <c r="H9" s="2"/>
      <c r="I9" s="2"/>
      <c r="J9" s="2"/>
      <c r="K9" s="2"/>
      <c r="L9" s="2"/>
      <c r="M9" s="2"/>
      <c r="N9" s="2"/>
      <c r="O9" s="2"/>
      <c r="P9" s="2"/>
      <c r="Q9" s="2"/>
      <c r="R9" s="2"/>
      <c r="S9" s="2"/>
      <c r="T9" s="2"/>
      <c r="U9" s="2"/>
      <c r="V9" s="2"/>
      <c r="W9" s="2"/>
      <c r="X9" s="2"/>
      <c r="Y9" s="2"/>
    </row>
    <row r="10" spans="1:25" ht="14.4" x14ac:dyDescent="0.3">
      <c r="A10" s="2"/>
      <c r="B10" s="2"/>
      <c r="C10" s="2"/>
      <c r="D10" s="2"/>
      <c r="E10" s="2"/>
      <c r="F10" s="2"/>
      <c r="G10" s="2"/>
      <c r="H10" s="2"/>
      <c r="I10" s="2"/>
      <c r="J10" s="2"/>
      <c r="K10" s="2"/>
      <c r="L10" s="2"/>
      <c r="M10" s="2"/>
      <c r="N10" s="2"/>
      <c r="O10" s="2"/>
      <c r="P10" s="2"/>
      <c r="Q10" s="2"/>
      <c r="R10" s="2"/>
      <c r="S10" s="2"/>
      <c r="T10" s="2"/>
      <c r="U10" s="2"/>
      <c r="V10" s="2"/>
      <c r="W10" s="2"/>
      <c r="X10" s="2"/>
      <c r="Y10" s="2"/>
    </row>
    <row r="11" spans="1:25" ht="14.4" x14ac:dyDescent="0.3">
      <c r="A11" s="2"/>
      <c r="B11" s="2"/>
      <c r="C11" s="2"/>
      <c r="D11" s="2"/>
      <c r="E11" s="2"/>
      <c r="F11" s="2"/>
      <c r="G11" s="2"/>
      <c r="H11" s="2"/>
      <c r="I11" s="2"/>
      <c r="J11" s="2"/>
      <c r="K11" s="2"/>
      <c r="L11" s="2"/>
      <c r="M11" s="2"/>
      <c r="N11" s="2"/>
      <c r="O11" s="2"/>
      <c r="P11" s="2"/>
      <c r="Q11" s="2"/>
      <c r="R11" s="2"/>
      <c r="S11" s="2"/>
      <c r="T11" s="2"/>
      <c r="U11" s="2"/>
      <c r="V11" s="2"/>
      <c r="W11" s="2"/>
      <c r="X11" s="2"/>
      <c r="Y11" s="2"/>
    </row>
    <row r="12" spans="1:25" ht="14.4" x14ac:dyDescent="0.3">
      <c r="A12" s="2"/>
      <c r="B12" s="2"/>
      <c r="C12" s="2"/>
      <c r="D12" s="2"/>
      <c r="E12" s="2"/>
      <c r="F12" s="2"/>
      <c r="G12" s="2"/>
      <c r="H12" s="2"/>
      <c r="I12" s="2"/>
      <c r="J12" s="2"/>
      <c r="K12" s="2"/>
      <c r="L12" s="2"/>
      <c r="M12" s="2"/>
      <c r="N12" s="2"/>
      <c r="O12" s="2"/>
      <c r="P12" s="2"/>
      <c r="Q12" s="2"/>
      <c r="R12" s="2"/>
      <c r="S12" s="2"/>
      <c r="T12" s="2"/>
      <c r="U12" s="2"/>
      <c r="V12" s="2"/>
      <c r="W12" s="2"/>
      <c r="X12" s="2"/>
      <c r="Y12" s="2"/>
    </row>
    <row r="13" spans="1:25" ht="14.4" x14ac:dyDescent="0.3">
      <c r="A13" s="2"/>
      <c r="B13" s="2"/>
      <c r="C13" s="2"/>
      <c r="D13" s="2"/>
      <c r="E13" s="2"/>
      <c r="F13" s="2"/>
      <c r="G13" s="2"/>
      <c r="H13" s="2"/>
      <c r="I13" s="2"/>
      <c r="J13" s="2"/>
      <c r="K13" s="2"/>
      <c r="L13" s="2"/>
      <c r="M13" s="2"/>
      <c r="N13" s="2"/>
      <c r="O13" s="2"/>
      <c r="P13" s="2"/>
      <c r="Q13" s="2"/>
      <c r="R13" s="2"/>
      <c r="S13" s="2"/>
      <c r="T13" s="2"/>
      <c r="U13" s="2"/>
      <c r="V13" s="2"/>
      <c r="W13" s="2"/>
      <c r="X13" s="2"/>
      <c r="Y13" s="2"/>
    </row>
    <row r="14" spans="1:25" ht="14.4" x14ac:dyDescent="0.3">
      <c r="A14" s="2"/>
      <c r="B14" s="2"/>
      <c r="C14" s="2"/>
      <c r="D14" s="2"/>
      <c r="E14" s="2"/>
      <c r="F14" s="2"/>
      <c r="G14" s="2"/>
      <c r="H14" s="2"/>
      <c r="I14" s="2"/>
      <c r="J14" s="2"/>
      <c r="K14" s="2"/>
      <c r="L14" s="2"/>
      <c r="M14" s="2"/>
      <c r="N14" s="2"/>
      <c r="O14" s="2"/>
      <c r="P14" s="2"/>
      <c r="Q14" s="2"/>
      <c r="R14" s="2"/>
      <c r="S14" s="2"/>
      <c r="T14" s="2"/>
      <c r="U14" s="2"/>
      <c r="V14" s="2"/>
      <c r="W14" s="2"/>
      <c r="X14" s="2"/>
      <c r="Y14" s="2"/>
    </row>
    <row r="15" spans="1:25" ht="14.4" x14ac:dyDescent="0.3">
      <c r="A15" s="2"/>
      <c r="B15" s="2"/>
      <c r="C15" s="2"/>
      <c r="D15" s="2"/>
      <c r="E15" s="2"/>
      <c r="F15" s="2"/>
      <c r="G15" s="2"/>
      <c r="H15" s="2"/>
      <c r="I15" s="2"/>
      <c r="J15" s="2"/>
      <c r="K15" s="2"/>
      <c r="L15" s="2"/>
      <c r="M15" s="2"/>
      <c r="N15" s="2"/>
      <c r="O15" s="2"/>
      <c r="P15" s="2"/>
      <c r="Q15" s="2"/>
      <c r="R15" s="2"/>
      <c r="S15" s="2"/>
      <c r="T15" s="2"/>
      <c r="U15" s="2"/>
      <c r="V15" s="2"/>
      <c r="W15" s="2"/>
      <c r="X15" s="2"/>
      <c r="Y15" s="2"/>
    </row>
    <row r="16" spans="1:25" ht="14.4" x14ac:dyDescent="0.3">
      <c r="A16" s="2"/>
      <c r="B16" s="2"/>
      <c r="C16" s="2"/>
      <c r="D16" s="2"/>
      <c r="E16" s="2"/>
      <c r="F16" s="2"/>
      <c r="G16" s="2"/>
      <c r="H16" s="2"/>
      <c r="I16" s="2"/>
      <c r="J16" s="2"/>
      <c r="K16" s="2"/>
      <c r="L16" s="2"/>
      <c r="M16" s="2"/>
      <c r="N16" s="2"/>
      <c r="O16" s="2"/>
      <c r="P16" s="2"/>
      <c r="Q16" s="2"/>
      <c r="R16" s="2"/>
      <c r="S16" s="2"/>
      <c r="T16" s="2"/>
      <c r="U16" s="2"/>
      <c r="V16" s="2"/>
      <c r="W16" s="2"/>
      <c r="X16" s="2"/>
      <c r="Y16" s="2"/>
    </row>
    <row r="17" spans="1:25" ht="14.4" x14ac:dyDescent="0.3">
      <c r="A17" s="2"/>
      <c r="B17" s="2"/>
      <c r="C17" s="2"/>
      <c r="D17" s="2"/>
      <c r="E17" s="2"/>
      <c r="F17" s="2"/>
      <c r="G17" s="2"/>
      <c r="H17" s="2"/>
      <c r="I17" s="2"/>
      <c r="J17" s="2"/>
      <c r="K17" s="2"/>
      <c r="L17" s="2"/>
      <c r="M17" s="2"/>
      <c r="N17" s="2"/>
      <c r="O17" s="2"/>
      <c r="P17" s="2"/>
      <c r="Q17" s="2"/>
      <c r="R17" s="2"/>
      <c r="S17" s="2"/>
      <c r="T17" s="2"/>
      <c r="U17" s="2"/>
      <c r="V17" s="2"/>
      <c r="W17" s="2"/>
      <c r="X17" s="2"/>
      <c r="Y17" s="2"/>
    </row>
    <row r="18" spans="1:25" ht="14.4" x14ac:dyDescent="0.3">
      <c r="A18" s="2"/>
      <c r="B18" s="2"/>
      <c r="C18" s="2"/>
      <c r="D18" s="2"/>
      <c r="E18" s="2"/>
      <c r="F18" s="2"/>
      <c r="G18" s="2"/>
      <c r="H18" s="2"/>
      <c r="I18" s="2"/>
      <c r="J18" s="2"/>
      <c r="K18" s="2"/>
      <c r="L18" s="2"/>
      <c r="M18" s="2"/>
      <c r="N18" s="2"/>
      <c r="O18" s="2"/>
      <c r="P18" s="2"/>
      <c r="Q18" s="2"/>
      <c r="R18" s="2"/>
      <c r="S18" s="2"/>
      <c r="T18" s="2"/>
      <c r="U18" s="2"/>
      <c r="V18" s="2"/>
      <c r="W18" s="2"/>
      <c r="X18" s="2"/>
      <c r="Y18" s="2"/>
    </row>
    <row r="19" spans="1:25" ht="14.4" x14ac:dyDescent="0.3">
      <c r="A19" s="2"/>
      <c r="B19" s="2"/>
      <c r="C19" s="2"/>
      <c r="D19" s="2"/>
      <c r="E19" s="2"/>
      <c r="F19" s="2"/>
      <c r="G19" s="2"/>
      <c r="H19" s="2"/>
      <c r="I19" s="2"/>
      <c r="J19" s="2"/>
      <c r="K19" s="2"/>
      <c r="L19" s="2"/>
      <c r="M19" s="2"/>
      <c r="N19" s="2"/>
      <c r="O19" s="2"/>
      <c r="P19" s="2"/>
      <c r="Q19" s="2"/>
      <c r="R19" s="2"/>
      <c r="S19" s="2"/>
      <c r="T19" s="2"/>
      <c r="U19" s="2"/>
      <c r="V19" s="2"/>
      <c r="W19" s="2"/>
      <c r="X19" s="2"/>
      <c r="Y19" s="2"/>
    </row>
    <row r="20" spans="1:25" ht="14.4" x14ac:dyDescent="0.3">
      <c r="A20" s="2"/>
      <c r="B20" s="2"/>
      <c r="C20" s="2"/>
      <c r="D20" s="2"/>
      <c r="E20" s="2"/>
      <c r="F20" s="2"/>
      <c r="G20" s="2"/>
      <c r="H20" s="2"/>
      <c r="I20" s="2"/>
      <c r="J20" s="2"/>
      <c r="K20" s="2"/>
      <c r="L20" s="2"/>
      <c r="M20" s="2"/>
      <c r="N20" s="2"/>
      <c r="O20" s="2"/>
      <c r="P20" s="2"/>
      <c r="Q20" s="2"/>
      <c r="R20" s="2"/>
      <c r="S20" s="2"/>
      <c r="T20" s="2"/>
      <c r="U20" s="2"/>
      <c r="V20" s="2"/>
      <c r="W20" s="2"/>
      <c r="X20" s="2"/>
      <c r="Y20" s="2"/>
    </row>
    <row r="21" spans="1:25" ht="15.7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row>
    <row r="22" spans="1:25"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row>
    <row r="23" spans="1:25"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row>
    <row r="24" spans="1:25"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row>
    <row r="25" spans="1:25"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row>
    <row r="26" spans="1:25"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row>
    <row r="27" spans="1:25"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row>
    <row r="28" spans="1:25"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row>
    <row r="29" spans="1:25"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row>
    <row r="30" spans="1:25"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row>
    <row r="31" spans="1:25"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row>
    <row r="32" spans="1:25"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row>
    <row r="33" spans="1:25"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row>
    <row r="34" spans="1:25"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row>
    <row r="35" spans="1:25"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row>
    <row r="36" spans="1:25"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row>
    <row r="37" spans="1:25"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row>
    <row r="38" spans="1:25"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row>
    <row r="39" spans="1:25"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row>
    <row r="40" spans="1:25"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row>
    <row r="41" spans="1:25"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row>
    <row r="42" spans="1:25"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row>
    <row r="43" spans="1:25"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row>
    <row r="44" spans="1:25"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row>
    <row r="45" spans="1:25"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row>
    <row r="46" spans="1:25"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row>
    <row r="47" spans="1:25"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row>
    <row r="48" spans="1:25"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row>
    <row r="49" spans="1:25"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row>
    <row r="50" spans="1:25"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row>
    <row r="51" spans="1:25"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row>
    <row r="52" spans="1:25"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row>
    <row r="53" spans="1:25"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row>
    <row r="54" spans="1:25"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row>
    <row r="55" spans="1:25"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row>
    <row r="56" spans="1:25"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row>
    <row r="57" spans="1:25"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row>
    <row r="58" spans="1:25"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row>
    <row r="59" spans="1:25"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row>
    <row r="60" spans="1:25"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row>
    <row r="61" spans="1:25"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row>
    <row r="62" spans="1:25"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row>
    <row r="63" spans="1:25"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row>
    <row r="64" spans="1:25"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row>
    <row r="65" spans="1:25"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row>
    <row r="66" spans="1:25"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row>
    <row r="67" spans="1:25"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row>
    <row r="68" spans="1:25"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row>
    <row r="69" spans="1:25"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row>
    <row r="70" spans="1:25"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row>
    <row r="71" spans="1:25"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row>
    <row r="72" spans="1:25"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row>
    <row r="73" spans="1:25"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row>
    <row r="74" spans="1:25"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row>
    <row r="75" spans="1:25"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row>
    <row r="76" spans="1:25"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row>
    <row r="77" spans="1:25"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row>
    <row r="78" spans="1:25"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row>
    <row r="79" spans="1:25"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row>
    <row r="80" spans="1:25"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row>
    <row r="81" spans="1:25"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row>
    <row r="82" spans="1:25"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row>
    <row r="83" spans="1:25"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row>
    <row r="84" spans="1:25"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row>
    <row r="85" spans="1:25"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row>
    <row r="86" spans="1:25"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row>
    <row r="87" spans="1:25"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row>
    <row r="88" spans="1:25"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row>
    <row r="89" spans="1:25"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row>
    <row r="90" spans="1:25"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row>
    <row r="91" spans="1:25"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row>
    <row r="92" spans="1:25"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row>
    <row r="93" spans="1:25"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row>
    <row r="94" spans="1:25"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row>
    <row r="95" spans="1:25"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row>
    <row r="96" spans="1:25"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row>
    <row r="97" spans="1:25"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row>
    <row r="98" spans="1:25"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row>
    <row r="99" spans="1:25"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row>
    <row r="100" spans="1:25"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spans="1:25"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spans="1:25"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21319-E85C-4A7C-B5AE-25CFE54C1411}">
  <dimension ref="D7:N8"/>
  <sheetViews>
    <sheetView showGridLines="0" tabSelected="1" zoomScale="75" workbookViewId="0">
      <selection activeCell="I10" sqref="I10"/>
    </sheetView>
  </sheetViews>
  <sheetFormatPr defaultRowHeight="14.4" x14ac:dyDescent="0.3"/>
  <cols>
    <col min="1" max="1" width="10.44140625" style="53" customWidth="1"/>
    <col min="2" max="3" width="8.88671875" style="53"/>
    <col min="4" max="4" width="13.21875" style="53" customWidth="1"/>
    <col min="5" max="9" width="8.88671875" style="53"/>
    <col min="10" max="10" width="11.6640625" style="53" customWidth="1"/>
    <col min="11" max="12" width="8.88671875" style="53"/>
    <col min="13" max="13" width="12" style="53" customWidth="1"/>
    <col min="14" max="16384" width="8.88671875" style="53"/>
  </cols>
  <sheetData>
    <row r="7" spans="4:14" x14ac:dyDescent="0.3">
      <c r="D7" s="58" t="s">
        <v>483</v>
      </c>
      <c r="F7" s="55"/>
      <c r="G7" s="59" t="s">
        <v>484</v>
      </c>
      <c r="H7" s="59"/>
      <c r="J7" s="59" t="s">
        <v>485</v>
      </c>
      <c r="K7" s="59"/>
      <c r="M7" s="59" t="s">
        <v>486</v>
      </c>
      <c r="N7" s="59"/>
    </row>
    <row r="8" spans="4:14" x14ac:dyDescent="0.3">
      <c r="D8" s="57">
        <f>Visaulization!$B$9</f>
        <v>229192.47000000006</v>
      </c>
      <c r="G8" s="57" t="str">
        <f>Visaulization!A4</f>
        <v>East</v>
      </c>
      <c r="H8" s="57">
        <f>GETPIVOTDATA("Total_Amount",Visaulization!$A$3,"Region","East")</f>
        <v>59288.389999999992</v>
      </c>
      <c r="J8" s="57" t="str">
        <f>Visaulization!J23</f>
        <v>Bookshelf</v>
      </c>
      <c r="K8" s="57">
        <f>GETPIVOTDATA("Quantity",Visaulization!$J$22,"Product_Name","Bookshelf")</f>
        <v>35</v>
      </c>
      <c r="M8" s="57" t="str">
        <f>analysis!P3</f>
        <v>Mark Carter</v>
      </c>
      <c r="N8" s="57">
        <f>GETPIVOTDATA("Total_Amount",analysis!$P$2,"Customer_Name","Mark Carter")</f>
        <v>15659.65</v>
      </c>
    </row>
  </sheetData>
  <mergeCells count="3">
    <mergeCell ref="G7:H7"/>
    <mergeCell ref="J7:K7"/>
    <mergeCell ref="M7:N7"/>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H1001"/>
  <sheetViews>
    <sheetView zoomScale="89" workbookViewId="0">
      <selection activeCell="W8" sqref="W8"/>
    </sheetView>
  </sheetViews>
  <sheetFormatPr defaultColWidth="14.44140625" defaultRowHeight="15" customHeight="1" x14ac:dyDescent="0.3"/>
  <cols>
    <col min="1" max="1" width="15.5546875" customWidth="1"/>
    <col min="2" max="2" width="10.88671875" customWidth="1"/>
    <col min="3" max="3" width="13.77734375" customWidth="1"/>
    <col min="4" max="4" width="17" customWidth="1"/>
    <col min="5" max="5" width="12.44140625" customWidth="1"/>
    <col min="6" max="6" width="15.77734375" customWidth="1"/>
    <col min="7" max="8" width="10.44140625" customWidth="1"/>
    <col min="9" max="9" width="11.77734375" customWidth="1"/>
    <col min="10" max="10" width="18.33203125" customWidth="1"/>
    <col min="11" max="11" width="8.77734375" customWidth="1"/>
    <col min="12" max="12" width="19.44140625" customWidth="1"/>
    <col min="13" max="13" width="16.44140625" customWidth="1"/>
    <col min="14" max="14" width="22.6640625" customWidth="1"/>
    <col min="15" max="15" width="8.6640625" customWidth="1"/>
    <col min="16" max="16" width="16.6640625" customWidth="1"/>
    <col min="17" max="17" width="16.88671875" customWidth="1"/>
    <col min="18" max="18" width="8.6640625" customWidth="1"/>
    <col min="19" max="19" width="16" customWidth="1"/>
    <col min="20" max="20" width="15.44140625" customWidth="1"/>
    <col min="21" max="21" width="19.77734375" customWidth="1"/>
    <col min="22" max="23" width="8.6640625" customWidth="1"/>
    <col min="24" max="24" width="12" customWidth="1"/>
    <col min="25" max="26" width="8.6640625" customWidth="1"/>
  </cols>
  <sheetData>
    <row r="1" spans="1:112" ht="15" customHeight="1" x14ac:dyDescent="0.3">
      <c r="N1" s="20" t="s">
        <v>433</v>
      </c>
      <c r="T1" s="21" t="s">
        <v>450</v>
      </c>
      <c r="V1" s="45" t="s">
        <v>482</v>
      </c>
      <c r="W1" s="45"/>
      <c r="X1" s="45"/>
    </row>
    <row r="2" spans="1:112" ht="14.4" x14ac:dyDescent="0.3">
      <c r="A2" s="4" t="s">
        <v>2</v>
      </c>
      <c r="B2" s="4" t="s">
        <v>3</v>
      </c>
      <c r="C2" s="4" t="s">
        <v>4</v>
      </c>
      <c r="D2" s="4" t="s">
        <v>5</v>
      </c>
      <c r="E2" s="4" t="s">
        <v>6</v>
      </c>
      <c r="F2" s="4" t="s">
        <v>7</v>
      </c>
      <c r="G2" s="4" t="s">
        <v>8</v>
      </c>
      <c r="H2" s="4" t="s">
        <v>9</v>
      </c>
      <c r="I2" s="4" t="s">
        <v>10</v>
      </c>
      <c r="J2" s="4" t="s">
        <v>11</v>
      </c>
      <c r="K2" s="4" t="s">
        <v>12</v>
      </c>
      <c r="L2" s="4" t="s">
        <v>13</v>
      </c>
      <c r="M2" s="4" t="s">
        <v>14</v>
      </c>
      <c r="N2" s="11" t="s">
        <v>434</v>
      </c>
      <c r="O2" s="4"/>
      <c r="P2" s="37" t="s">
        <v>400</v>
      </c>
      <c r="Q2" s="39" t="s">
        <v>401</v>
      </c>
      <c r="R2" s="41" t="s">
        <v>432</v>
      </c>
      <c r="S2" s="42" t="s">
        <v>402</v>
      </c>
      <c r="T2" s="41" t="s">
        <v>446</v>
      </c>
      <c r="U2" s="12"/>
      <c r="V2" s="42" t="s">
        <v>465</v>
      </c>
      <c r="W2" s="42" t="s">
        <v>466</v>
      </c>
      <c r="X2" s="42" t="s">
        <v>467</v>
      </c>
      <c r="Y2" s="4"/>
      <c r="Z2" s="4"/>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c r="CD2" s="10"/>
      <c r="CE2" s="10"/>
      <c r="CF2" s="10"/>
      <c r="CG2" s="10"/>
      <c r="CH2" s="10"/>
      <c r="CI2" s="10"/>
      <c r="CJ2" s="10"/>
      <c r="CK2" s="10"/>
      <c r="CL2" s="10"/>
      <c r="CM2" s="10"/>
      <c r="CN2" s="10"/>
      <c r="CO2" s="10"/>
      <c r="CP2" s="10"/>
      <c r="CQ2" s="10"/>
      <c r="CR2" s="10"/>
      <c r="CS2" s="10"/>
      <c r="CT2" s="10"/>
      <c r="CU2" s="10"/>
      <c r="CV2" s="10"/>
      <c r="CW2" s="10"/>
      <c r="CX2" s="10"/>
      <c r="CY2" s="10"/>
      <c r="CZ2" s="10"/>
      <c r="DA2" s="10"/>
      <c r="DB2" s="10"/>
      <c r="DC2" s="10"/>
      <c r="DD2" s="10"/>
      <c r="DE2" s="10"/>
      <c r="DF2" s="10"/>
      <c r="DG2" s="10"/>
      <c r="DH2" s="10"/>
    </row>
    <row r="3" spans="1:112" ht="14.4" x14ac:dyDescent="0.3">
      <c r="A3" s="13" t="s">
        <v>15</v>
      </c>
      <c r="B3" s="14">
        <v>45393</v>
      </c>
      <c r="C3" s="13" t="s">
        <v>16</v>
      </c>
      <c r="D3" s="13" t="s">
        <v>17</v>
      </c>
      <c r="E3" s="13" t="s">
        <v>18</v>
      </c>
      <c r="F3" s="13" t="s">
        <v>19</v>
      </c>
      <c r="G3" s="13" t="s">
        <v>20</v>
      </c>
      <c r="H3" s="13">
        <v>3</v>
      </c>
      <c r="I3" s="13">
        <v>249.99</v>
      </c>
      <c r="J3" s="13" t="s">
        <v>21</v>
      </c>
      <c r="K3" s="15" t="s">
        <v>22</v>
      </c>
      <c r="L3" s="13" t="s">
        <v>23</v>
      </c>
      <c r="M3" s="14">
        <v>44425</v>
      </c>
      <c r="N3" s="13">
        <v>749.97</v>
      </c>
      <c r="O3" s="10"/>
      <c r="P3" s="38">
        <f ca="1">TODAY()</f>
        <v>46172</v>
      </c>
      <c r="Q3" s="40">
        <f ca="1">NOW()</f>
        <v>46172.695513773149</v>
      </c>
      <c r="R3" s="17">
        <f ca="1">DATEDIF(M3,TODAY(),"D")</f>
        <v>1747</v>
      </c>
      <c r="S3" s="43">
        <f>EOMONTH(B3,0)</f>
        <v>45412</v>
      </c>
      <c r="T3" s="44" t="str">
        <f>LEFT(K3,3)</f>
        <v>Cen</v>
      </c>
      <c r="U3" s="12"/>
      <c r="V3" s="17">
        <v>4</v>
      </c>
      <c r="W3" s="17">
        <v>350</v>
      </c>
      <c r="X3" s="17">
        <f>V3*W3</f>
        <v>1400</v>
      </c>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row>
    <row r="4" spans="1:112" ht="14.4" x14ac:dyDescent="0.3">
      <c r="A4" s="13" t="s">
        <v>24</v>
      </c>
      <c r="B4" s="14">
        <v>45396</v>
      </c>
      <c r="C4" s="13" t="s">
        <v>25</v>
      </c>
      <c r="D4" s="13" t="s">
        <v>26</v>
      </c>
      <c r="E4" s="13" t="s">
        <v>18</v>
      </c>
      <c r="F4" s="13" t="s">
        <v>19</v>
      </c>
      <c r="G4" s="13" t="s">
        <v>20</v>
      </c>
      <c r="H4" s="13">
        <v>3</v>
      </c>
      <c r="I4" s="13">
        <v>249.99</v>
      </c>
      <c r="J4" s="13" t="s">
        <v>27</v>
      </c>
      <c r="K4" s="13" t="s">
        <v>22</v>
      </c>
      <c r="L4" s="13" t="s">
        <v>28</v>
      </c>
      <c r="M4" s="14">
        <v>44575</v>
      </c>
      <c r="N4" s="13">
        <v>749.97</v>
      </c>
      <c r="O4" s="10"/>
      <c r="P4" s="10"/>
      <c r="Q4" s="10"/>
      <c r="R4" s="17">
        <f ca="1">DATEDIF(M4,TODAY(),"D")</f>
        <v>1597</v>
      </c>
      <c r="S4" s="43">
        <f t="shared" ref="S4:S67" si="0">EOMONTH(B4,0)</f>
        <v>45412</v>
      </c>
      <c r="T4" s="44" t="str">
        <f t="shared" ref="T4:T67" si="1">LEFT(K4,3)</f>
        <v>Cen</v>
      </c>
      <c r="U4" s="13"/>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row>
    <row r="5" spans="1:112" ht="14.4" x14ac:dyDescent="0.3">
      <c r="A5" s="13" t="s">
        <v>29</v>
      </c>
      <c r="B5" s="14">
        <v>45399</v>
      </c>
      <c r="C5" s="13" t="s">
        <v>30</v>
      </c>
      <c r="D5" s="13" t="s">
        <v>31</v>
      </c>
      <c r="E5" s="13" t="s">
        <v>32</v>
      </c>
      <c r="F5" s="13" t="s">
        <v>33</v>
      </c>
      <c r="G5" s="13" t="s">
        <v>34</v>
      </c>
      <c r="H5" s="13">
        <v>3</v>
      </c>
      <c r="I5" s="13">
        <v>59.99</v>
      </c>
      <c r="J5" s="13" t="s">
        <v>35</v>
      </c>
      <c r="K5" s="13" t="s">
        <v>36</v>
      </c>
      <c r="L5" s="13" t="s">
        <v>37</v>
      </c>
      <c r="M5" s="14">
        <v>45262</v>
      </c>
      <c r="N5" s="13">
        <v>179.97</v>
      </c>
      <c r="O5" s="10"/>
      <c r="P5" s="10"/>
      <c r="Q5" s="10"/>
      <c r="R5" s="17">
        <f t="shared" ref="R5:R68" ca="1" si="2">DATEDIF(M5,TODAY(),"D")</f>
        <v>910</v>
      </c>
      <c r="S5" s="43">
        <f t="shared" si="0"/>
        <v>45412</v>
      </c>
      <c r="T5" s="44" t="str">
        <f t="shared" si="1"/>
        <v>Sou</v>
      </c>
      <c r="U5" s="13"/>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row>
    <row r="6" spans="1:112" ht="14.4" x14ac:dyDescent="0.3">
      <c r="A6" s="13" t="s">
        <v>38</v>
      </c>
      <c r="B6" s="14">
        <v>45400</v>
      </c>
      <c r="C6" s="13" t="s">
        <v>39</v>
      </c>
      <c r="D6" s="13" t="s">
        <v>40</v>
      </c>
      <c r="E6" s="13" t="s">
        <v>32</v>
      </c>
      <c r="F6" s="13" t="s">
        <v>33</v>
      </c>
      <c r="G6" s="13" t="s">
        <v>34</v>
      </c>
      <c r="H6" s="13">
        <v>3</v>
      </c>
      <c r="I6" s="13">
        <v>59.99</v>
      </c>
      <c r="J6" s="13" t="s">
        <v>21</v>
      </c>
      <c r="K6" s="13" t="s">
        <v>41</v>
      </c>
      <c r="L6" s="13" t="s">
        <v>28</v>
      </c>
      <c r="M6" s="14">
        <v>45114</v>
      </c>
      <c r="N6" s="13">
        <v>179.97</v>
      </c>
      <c r="O6" s="10"/>
      <c r="P6" s="10"/>
      <c r="Q6" s="10"/>
      <c r="R6" s="17">
        <f t="shared" ca="1" si="2"/>
        <v>1058</v>
      </c>
      <c r="S6" s="43">
        <f t="shared" si="0"/>
        <v>45412</v>
      </c>
      <c r="T6" s="44" t="str">
        <f t="shared" si="1"/>
        <v>Nor</v>
      </c>
      <c r="U6" s="13"/>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row>
    <row r="7" spans="1:112" ht="14.4" x14ac:dyDescent="0.3">
      <c r="A7" s="13" t="s">
        <v>42</v>
      </c>
      <c r="B7" s="14">
        <v>45400</v>
      </c>
      <c r="C7" s="13" t="s">
        <v>43</v>
      </c>
      <c r="D7" s="13" t="s">
        <v>44</v>
      </c>
      <c r="E7" s="13" t="s">
        <v>45</v>
      </c>
      <c r="F7" s="13" t="s">
        <v>46</v>
      </c>
      <c r="G7" s="13" t="s">
        <v>47</v>
      </c>
      <c r="H7" s="13">
        <v>5</v>
      </c>
      <c r="I7" s="13">
        <v>149.99</v>
      </c>
      <c r="J7" s="13" t="s">
        <v>27</v>
      </c>
      <c r="K7" s="13" t="s">
        <v>41</v>
      </c>
      <c r="L7" s="13" t="s">
        <v>28</v>
      </c>
      <c r="M7" s="14">
        <v>45295</v>
      </c>
      <c r="N7" s="13">
        <v>749.95</v>
      </c>
      <c r="O7" s="10"/>
      <c r="P7" s="10"/>
      <c r="Q7" s="10"/>
      <c r="R7" s="17">
        <f t="shared" ca="1" si="2"/>
        <v>877</v>
      </c>
      <c r="S7" s="43">
        <f t="shared" si="0"/>
        <v>45412</v>
      </c>
      <c r="T7" s="44" t="str">
        <f t="shared" si="1"/>
        <v>Nor</v>
      </c>
      <c r="U7" s="13"/>
      <c r="V7" s="4"/>
      <c r="W7" s="4"/>
      <c r="X7" s="4"/>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row>
    <row r="8" spans="1:112" ht="14.4" x14ac:dyDescent="0.3">
      <c r="A8" s="13" t="s">
        <v>48</v>
      </c>
      <c r="B8" s="14">
        <v>45403</v>
      </c>
      <c r="C8" s="13" t="s">
        <v>49</v>
      </c>
      <c r="D8" s="13" t="s">
        <v>50</v>
      </c>
      <c r="E8" s="13" t="s">
        <v>32</v>
      </c>
      <c r="F8" s="13" t="s">
        <v>33</v>
      </c>
      <c r="G8" s="13" t="s">
        <v>34</v>
      </c>
      <c r="H8" s="13">
        <v>2</v>
      </c>
      <c r="I8" s="13">
        <v>59.99</v>
      </c>
      <c r="J8" s="13" t="s">
        <v>21</v>
      </c>
      <c r="K8" s="13" t="s">
        <v>51</v>
      </c>
      <c r="L8" s="13" t="s">
        <v>37</v>
      </c>
      <c r="M8" s="14">
        <v>44746</v>
      </c>
      <c r="N8" s="13">
        <v>119.98</v>
      </c>
      <c r="O8" s="10"/>
      <c r="P8" s="10"/>
      <c r="Q8" s="10"/>
      <c r="R8" s="17">
        <f t="shared" ca="1" si="2"/>
        <v>1426</v>
      </c>
      <c r="S8" s="43">
        <f t="shared" si="0"/>
        <v>45412</v>
      </c>
      <c r="T8" s="44" t="str">
        <f t="shared" si="1"/>
        <v>Wes</v>
      </c>
      <c r="U8" s="13"/>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row>
    <row r="9" spans="1:112" ht="14.4" x14ac:dyDescent="0.3">
      <c r="A9" s="13" t="s">
        <v>52</v>
      </c>
      <c r="B9" s="14">
        <v>45403</v>
      </c>
      <c r="C9" s="13" t="s">
        <v>49</v>
      </c>
      <c r="D9" s="13" t="s">
        <v>50</v>
      </c>
      <c r="E9" s="13" t="s">
        <v>53</v>
      </c>
      <c r="F9" s="13" t="s">
        <v>54</v>
      </c>
      <c r="G9" s="13" t="s">
        <v>20</v>
      </c>
      <c r="H9" s="13">
        <v>5</v>
      </c>
      <c r="I9" s="13">
        <v>149.99</v>
      </c>
      <c r="J9" s="13" t="s">
        <v>27</v>
      </c>
      <c r="K9" s="13" t="s">
        <v>22</v>
      </c>
      <c r="L9" s="13" t="s">
        <v>37</v>
      </c>
      <c r="M9" s="14">
        <v>44418</v>
      </c>
      <c r="N9" s="13">
        <v>749.95</v>
      </c>
      <c r="O9" s="10"/>
      <c r="P9" s="10"/>
      <c r="Q9" s="10"/>
      <c r="R9" s="17">
        <f t="shared" ca="1" si="2"/>
        <v>1754</v>
      </c>
      <c r="S9" s="43">
        <f t="shared" si="0"/>
        <v>45412</v>
      </c>
      <c r="T9" s="44" t="str">
        <f t="shared" si="1"/>
        <v>Cen</v>
      </c>
      <c r="U9" s="13"/>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c r="CW9" s="10"/>
      <c r="CX9" s="10"/>
      <c r="CY9" s="10"/>
      <c r="CZ9" s="10"/>
      <c r="DA9" s="10"/>
      <c r="DB9" s="10"/>
      <c r="DC9" s="10"/>
      <c r="DD9" s="10"/>
      <c r="DE9" s="10"/>
      <c r="DF9" s="10"/>
      <c r="DG9" s="10"/>
      <c r="DH9" s="10"/>
    </row>
    <row r="10" spans="1:112" ht="14.4" x14ac:dyDescent="0.3">
      <c r="A10" s="13" t="s">
        <v>55</v>
      </c>
      <c r="B10" s="14">
        <v>45403</v>
      </c>
      <c r="C10" s="13" t="s">
        <v>56</v>
      </c>
      <c r="D10" s="13" t="s">
        <v>57</v>
      </c>
      <c r="E10" s="13" t="s">
        <v>32</v>
      </c>
      <c r="F10" s="13" t="s">
        <v>33</v>
      </c>
      <c r="G10" s="13" t="s">
        <v>34</v>
      </c>
      <c r="H10" s="13">
        <v>3</v>
      </c>
      <c r="I10" s="13">
        <v>59.99</v>
      </c>
      <c r="J10" s="13" t="s">
        <v>58</v>
      </c>
      <c r="K10" s="13" t="s">
        <v>36</v>
      </c>
      <c r="L10" s="13" t="s">
        <v>23</v>
      </c>
      <c r="M10" s="14">
        <v>45007</v>
      </c>
      <c r="N10" s="13">
        <v>179.97</v>
      </c>
      <c r="O10" s="10"/>
      <c r="P10" s="10"/>
      <c r="Q10" s="10"/>
      <c r="R10" s="17">
        <f t="shared" ca="1" si="2"/>
        <v>1165</v>
      </c>
      <c r="S10" s="43">
        <f t="shared" si="0"/>
        <v>45412</v>
      </c>
      <c r="T10" s="44" t="str">
        <f t="shared" si="1"/>
        <v>Sou</v>
      </c>
      <c r="U10" s="13"/>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c r="CW10" s="10"/>
      <c r="CX10" s="10"/>
      <c r="CY10" s="10"/>
      <c r="CZ10" s="10"/>
      <c r="DA10" s="10"/>
      <c r="DB10" s="10"/>
      <c r="DC10" s="10"/>
      <c r="DD10" s="10"/>
      <c r="DE10" s="10"/>
      <c r="DF10" s="10"/>
      <c r="DG10" s="10"/>
      <c r="DH10" s="10"/>
    </row>
    <row r="11" spans="1:112" ht="14.4" x14ac:dyDescent="0.3">
      <c r="A11" s="13" t="s">
        <v>59</v>
      </c>
      <c r="B11" s="14">
        <v>45405</v>
      </c>
      <c r="C11" s="13" t="s">
        <v>60</v>
      </c>
      <c r="D11" s="13" t="s">
        <v>61</v>
      </c>
      <c r="E11" s="13" t="s">
        <v>62</v>
      </c>
      <c r="F11" s="13" t="s">
        <v>63</v>
      </c>
      <c r="G11" s="13" t="s">
        <v>20</v>
      </c>
      <c r="H11" s="13">
        <v>3</v>
      </c>
      <c r="I11" s="13">
        <v>899.99</v>
      </c>
      <c r="J11" s="13" t="s">
        <v>35</v>
      </c>
      <c r="K11" s="13" t="s">
        <v>64</v>
      </c>
      <c r="L11" s="13" t="s">
        <v>37</v>
      </c>
      <c r="M11" s="14">
        <v>45299</v>
      </c>
      <c r="N11" s="13">
        <v>2699.97</v>
      </c>
      <c r="O11" s="10"/>
      <c r="P11" s="10"/>
      <c r="Q11" s="10"/>
      <c r="R11" s="17">
        <f t="shared" ca="1" si="2"/>
        <v>873</v>
      </c>
      <c r="S11" s="43">
        <f t="shared" si="0"/>
        <v>45412</v>
      </c>
      <c r="T11" s="44" t="str">
        <f t="shared" si="1"/>
        <v>Eas</v>
      </c>
      <c r="U11" s="13"/>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row>
    <row r="12" spans="1:112" ht="14.4" x14ac:dyDescent="0.3">
      <c r="A12" s="13" t="s">
        <v>65</v>
      </c>
      <c r="B12" s="14">
        <v>45408</v>
      </c>
      <c r="C12" s="13" t="s">
        <v>66</v>
      </c>
      <c r="D12" s="13" t="s">
        <v>67</v>
      </c>
      <c r="E12" s="13" t="s">
        <v>32</v>
      </c>
      <c r="F12" s="13" t="s">
        <v>33</v>
      </c>
      <c r="G12" s="13" t="s">
        <v>34</v>
      </c>
      <c r="H12" s="13">
        <v>3</v>
      </c>
      <c r="I12" s="13">
        <v>59.99</v>
      </c>
      <c r="J12" s="13" t="s">
        <v>21</v>
      </c>
      <c r="K12" s="13" t="s">
        <v>51</v>
      </c>
      <c r="L12" s="13" t="s">
        <v>28</v>
      </c>
      <c r="M12" s="14">
        <v>45207</v>
      </c>
      <c r="N12" s="13">
        <v>179.97</v>
      </c>
      <c r="O12" s="10"/>
      <c r="P12" s="10"/>
      <c r="Q12" s="10"/>
      <c r="R12" s="17">
        <f t="shared" ca="1" si="2"/>
        <v>965</v>
      </c>
      <c r="S12" s="43">
        <f t="shared" si="0"/>
        <v>45412</v>
      </c>
      <c r="T12" s="44" t="str">
        <f t="shared" si="1"/>
        <v>Wes</v>
      </c>
      <c r="U12" s="13"/>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0"/>
      <c r="CE12" s="10"/>
      <c r="CF12" s="10"/>
      <c r="CG12" s="10"/>
      <c r="CH12" s="10"/>
      <c r="CI12" s="10"/>
      <c r="CJ12" s="10"/>
      <c r="CK12" s="10"/>
      <c r="CL12" s="10"/>
      <c r="CM12" s="10"/>
      <c r="CN12" s="10"/>
      <c r="CO12" s="10"/>
      <c r="CP12" s="10"/>
      <c r="CQ12" s="10"/>
      <c r="CR12" s="10"/>
      <c r="CS12" s="10"/>
      <c r="CT12" s="10"/>
      <c r="CU12" s="10"/>
      <c r="CV12" s="10"/>
      <c r="CW12" s="10"/>
      <c r="CX12" s="10"/>
      <c r="CY12" s="10"/>
      <c r="CZ12" s="10"/>
      <c r="DA12" s="10"/>
      <c r="DB12" s="10"/>
      <c r="DC12" s="10"/>
      <c r="DD12" s="10"/>
      <c r="DE12" s="10"/>
      <c r="DF12" s="10"/>
      <c r="DG12" s="10"/>
      <c r="DH12" s="10"/>
    </row>
    <row r="13" spans="1:112" ht="14.4" x14ac:dyDescent="0.3">
      <c r="A13" s="13" t="s">
        <v>68</v>
      </c>
      <c r="B13" s="14">
        <v>45408</v>
      </c>
      <c r="C13" s="13" t="s">
        <v>69</v>
      </c>
      <c r="D13" s="13" t="s">
        <v>70</v>
      </c>
      <c r="E13" s="13" t="s">
        <v>45</v>
      </c>
      <c r="F13" s="13" t="s">
        <v>46</v>
      </c>
      <c r="G13" s="13" t="s">
        <v>47</v>
      </c>
      <c r="H13" s="13">
        <v>1</v>
      </c>
      <c r="I13" s="13">
        <v>149.99</v>
      </c>
      <c r="J13" s="13" t="s">
        <v>27</v>
      </c>
      <c r="K13" s="13" t="s">
        <v>51</v>
      </c>
      <c r="L13" s="13" t="s">
        <v>37</v>
      </c>
      <c r="M13" s="14">
        <v>45103</v>
      </c>
      <c r="N13" s="13">
        <v>149.99</v>
      </c>
      <c r="O13" s="10"/>
      <c r="P13" s="10"/>
      <c r="Q13" s="10"/>
      <c r="R13" s="17">
        <f t="shared" ca="1" si="2"/>
        <v>1069</v>
      </c>
      <c r="S13" s="43">
        <f t="shared" si="0"/>
        <v>45412</v>
      </c>
      <c r="T13" s="44" t="str">
        <f t="shared" si="1"/>
        <v>Wes</v>
      </c>
      <c r="U13" s="13"/>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0"/>
      <c r="BP13" s="10"/>
      <c r="BQ13" s="10"/>
      <c r="BR13" s="10"/>
      <c r="BS13" s="10"/>
      <c r="BT13" s="10"/>
      <c r="BU13" s="10"/>
      <c r="BV13" s="10"/>
      <c r="BW13" s="10"/>
      <c r="BX13" s="10"/>
      <c r="BY13" s="10"/>
      <c r="BZ13" s="10"/>
      <c r="CA13" s="10"/>
      <c r="CB13" s="10"/>
      <c r="CC13" s="10"/>
      <c r="CD13" s="10"/>
      <c r="CE13" s="10"/>
      <c r="CF13" s="10"/>
      <c r="CG13" s="10"/>
      <c r="CH13" s="10"/>
      <c r="CI13" s="10"/>
      <c r="CJ13" s="10"/>
      <c r="CK13" s="10"/>
      <c r="CL13" s="10"/>
      <c r="CM13" s="10"/>
      <c r="CN13" s="10"/>
      <c r="CO13" s="10"/>
      <c r="CP13" s="10"/>
      <c r="CQ13" s="10"/>
      <c r="CR13" s="10"/>
      <c r="CS13" s="10"/>
      <c r="CT13" s="10"/>
      <c r="CU13" s="10"/>
      <c r="CV13" s="10"/>
      <c r="CW13" s="10"/>
      <c r="CX13" s="10"/>
      <c r="CY13" s="10"/>
      <c r="CZ13" s="10"/>
      <c r="DA13" s="10"/>
      <c r="DB13" s="10"/>
      <c r="DC13" s="10"/>
      <c r="DD13" s="10"/>
      <c r="DE13" s="10"/>
      <c r="DF13" s="10"/>
      <c r="DG13" s="10"/>
      <c r="DH13" s="10"/>
    </row>
    <row r="14" spans="1:112" ht="14.4" x14ac:dyDescent="0.3">
      <c r="A14" s="13" t="s">
        <v>71</v>
      </c>
      <c r="B14" s="14">
        <v>45408</v>
      </c>
      <c r="C14" s="13" t="s">
        <v>39</v>
      </c>
      <c r="D14" s="13" t="s">
        <v>40</v>
      </c>
      <c r="E14" s="13" t="s">
        <v>45</v>
      </c>
      <c r="F14" s="13" t="s">
        <v>46</v>
      </c>
      <c r="G14" s="13" t="s">
        <v>47</v>
      </c>
      <c r="H14" s="13">
        <v>5</v>
      </c>
      <c r="I14" s="13">
        <v>149.99</v>
      </c>
      <c r="J14" s="13" t="s">
        <v>58</v>
      </c>
      <c r="K14" s="13" t="s">
        <v>41</v>
      </c>
      <c r="L14" s="13" t="s">
        <v>23</v>
      </c>
      <c r="M14" s="14">
        <v>44830</v>
      </c>
      <c r="N14" s="13">
        <v>749.95</v>
      </c>
      <c r="O14" s="10"/>
      <c r="P14" s="10"/>
      <c r="Q14" s="10"/>
      <c r="R14" s="17">
        <f t="shared" ca="1" si="2"/>
        <v>1342</v>
      </c>
      <c r="S14" s="43">
        <f t="shared" si="0"/>
        <v>45412</v>
      </c>
      <c r="T14" s="44" t="str">
        <f t="shared" si="1"/>
        <v>Nor</v>
      </c>
      <c r="U14" s="13"/>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0"/>
      <c r="CD14" s="10"/>
      <c r="CE14" s="10"/>
      <c r="CF14" s="10"/>
      <c r="CG14" s="10"/>
      <c r="CH14" s="10"/>
      <c r="CI14" s="10"/>
      <c r="CJ14" s="10"/>
      <c r="CK14" s="10"/>
      <c r="CL14" s="10"/>
      <c r="CM14" s="10"/>
      <c r="CN14" s="10"/>
      <c r="CO14" s="10"/>
      <c r="CP14" s="10"/>
      <c r="CQ14" s="10"/>
      <c r="CR14" s="10"/>
      <c r="CS14" s="10"/>
      <c r="CT14" s="10"/>
      <c r="CU14" s="10"/>
      <c r="CV14" s="10"/>
      <c r="CW14" s="10"/>
      <c r="CX14" s="10"/>
      <c r="CY14" s="10"/>
      <c r="CZ14" s="10"/>
      <c r="DA14" s="10"/>
      <c r="DB14" s="10"/>
      <c r="DC14" s="10"/>
      <c r="DD14" s="10"/>
      <c r="DE14" s="10"/>
      <c r="DF14" s="10"/>
      <c r="DG14" s="10"/>
      <c r="DH14" s="10"/>
    </row>
    <row r="15" spans="1:112" ht="14.4" x14ac:dyDescent="0.3">
      <c r="A15" s="13" t="s">
        <v>72</v>
      </c>
      <c r="B15" s="14">
        <v>45408</v>
      </c>
      <c r="C15" s="13" t="s">
        <v>73</v>
      </c>
      <c r="D15" s="13" t="s">
        <v>74</v>
      </c>
      <c r="E15" s="13" t="s">
        <v>45</v>
      </c>
      <c r="F15" s="13" t="s">
        <v>46</v>
      </c>
      <c r="G15" s="13" t="s">
        <v>47</v>
      </c>
      <c r="H15" s="13">
        <v>3</v>
      </c>
      <c r="I15" s="13">
        <v>149.99</v>
      </c>
      <c r="J15" s="13" t="s">
        <v>21</v>
      </c>
      <c r="K15" s="13" t="s">
        <v>41</v>
      </c>
      <c r="L15" s="13" t="s">
        <v>28</v>
      </c>
      <c r="M15" s="14">
        <v>44806</v>
      </c>
      <c r="N15" s="13">
        <v>449.97</v>
      </c>
      <c r="O15" s="10"/>
      <c r="P15" s="10"/>
      <c r="Q15" s="10"/>
      <c r="R15" s="17">
        <f t="shared" ca="1" si="2"/>
        <v>1366</v>
      </c>
      <c r="S15" s="43">
        <f t="shared" si="0"/>
        <v>45412</v>
      </c>
      <c r="T15" s="44" t="str">
        <f t="shared" si="1"/>
        <v>Nor</v>
      </c>
      <c r="U15" s="13"/>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c r="BR15" s="10"/>
      <c r="BS15" s="10"/>
      <c r="BT15" s="10"/>
      <c r="BU15" s="10"/>
      <c r="BV15" s="10"/>
      <c r="BW15" s="10"/>
      <c r="BX15" s="10"/>
      <c r="BY15" s="10"/>
      <c r="BZ15" s="10"/>
      <c r="CA15" s="10"/>
      <c r="CB15" s="10"/>
      <c r="CC15" s="10"/>
      <c r="CD15" s="10"/>
      <c r="CE15" s="10"/>
      <c r="CF15" s="10"/>
      <c r="CG15" s="10"/>
      <c r="CH15" s="10"/>
      <c r="CI15" s="10"/>
      <c r="CJ15" s="10"/>
      <c r="CK15" s="10"/>
      <c r="CL15" s="10"/>
      <c r="CM15" s="10"/>
      <c r="CN15" s="10"/>
      <c r="CO15" s="10"/>
      <c r="CP15" s="10"/>
      <c r="CQ15" s="10"/>
      <c r="CR15" s="10"/>
      <c r="CS15" s="10"/>
      <c r="CT15" s="10"/>
      <c r="CU15" s="10"/>
      <c r="CV15" s="10"/>
      <c r="CW15" s="10"/>
      <c r="CX15" s="10"/>
      <c r="CY15" s="10"/>
      <c r="CZ15" s="10"/>
      <c r="DA15" s="10"/>
      <c r="DB15" s="10"/>
      <c r="DC15" s="10"/>
      <c r="DD15" s="10"/>
      <c r="DE15" s="10"/>
      <c r="DF15" s="10"/>
      <c r="DG15" s="10"/>
      <c r="DH15" s="10"/>
    </row>
    <row r="16" spans="1:112" ht="14.4" x14ac:dyDescent="0.3">
      <c r="A16" s="13" t="s">
        <v>75</v>
      </c>
      <c r="B16" s="14">
        <v>45409</v>
      </c>
      <c r="C16" s="13" t="s">
        <v>76</v>
      </c>
      <c r="D16" s="13" t="s">
        <v>77</v>
      </c>
      <c r="E16" s="13" t="s">
        <v>32</v>
      </c>
      <c r="F16" s="13" t="s">
        <v>33</v>
      </c>
      <c r="G16" s="13" t="s">
        <v>34</v>
      </c>
      <c r="H16" s="13">
        <v>3</v>
      </c>
      <c r="I16" s="13">
        <v>59.99</v>
      </c>
      <c r="J16" s="13" t="s">
        <v>27</v>
      </c>
      <c r="K16" s="13" t="s">
        <v>41</v>
      </c>
      <c r="L16" s="13" t="s">
        <v>37</v>
      </c>
      <c r="M16" s="14">
        <v>45351</v>
      </c>
      <c r="N16" s="13">
        <v>179.97</v>
      </c>
      <c r="O16" s="10"/>
      <c r="P16" s="12"/>
      <c r="Q16" s="10"/>
      <c r="R16" s="17">
        <f t="shared" ca="1" si="2"/>
        <v>821</v>
      </c>
      <c r="S16" s="43">
        <f t="shared" si="0"/>
        <v>45412</v>
      </c>
      <c r="T16" s="44" t="str">
        <f t="shared" si="1"/>
        <v>Nor</v>
      </c>
      <c r="U16" s="13"/>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c r="CW16" s="10"/>
      <c r="CX16" s="10"/>
      <c r="CY16" s="10"/>
      <c r="CZ16" s="10"/>
      <c r="DA16" s="10"/>
      <c r="DB16" s="10"/>
      <c r="DC16" s="10"/>
      <c r="DD16" s="10"/>
      <c r="DE16" s="10"/>
      <c r="DF16" s="10"/>
      <c r="DG16" s="10"/>
      <c r="DH16" s="10"/>
    </row>
    <row r="17" spans="1:112" ht="14.4" x14ac:dyDescent="0.3">
      <c r="A17" s="13" t="s">
        <v>78</v>
      </c>
      <c r="B17" s="14">
        <v>45409</v>
      </c>
      <c r="C17" s="13" t="s">
        <v>79</v>
      </c>
      <c r="D17" s="13" t="s">
        <v>80</v>
      </c>
      <c r="E17" s="13" t="s">
        <v>81</v>
      </c>
      <c r="F17" s="13" t="s">
        <v>82</v>
      </c>
      <c r="G17" s="13" t="s">
        <v>20</v>
      </c>
      <c r="H17" s="13">
        <v>3</v>
      </c>
      <c r="I17" s="13">
        <v>699.99</v>
      </c>
      <c r="J17" s="13" t="s">
        <v>27</v>
      </c>
      <c r="K17" s="13" t="s">
        <v>51</v>
      </c>
      <c r="L17" s="13" t="s">
        <v>23</v>
      </c>
      <c r="M17" s="14">
        <v>44577</v>
      </c>
      <c r="N17" s="13">
        <v>2099.9699999999998</v>
      </c>
      <c r="O17" s="10"/>
      <c r="P17" s="13"/>
      <c r="Q17" s="10"/>
      <c r="R17" s="17">
        <f t="shared" ca="1" si="2"/>
        <v>1595</v>
      </c>
      <c r="S17" s="43">
        <f t="shared" si="0"/>
        <v>45412</v>
      </c>
      <c r="T17" s="44" t="str">
        <f t="shared" si="1"/>
        <v>Wes</v>
      </c>
      <c r="U17" s="13"/>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10"/>
      <c r="CR17" s="10"/>
      <c r="CS17" s="10"/>
      <c r="CT17" s="10"/>
      <c r="CU17" s="10"/>
      <c r="CV17" s="10"/>
      <c r="CW17" s="10"/>
      <c r="CX17" s="10"/>
      <c r="CY17" s="10"/>
      <c r="CZ17" s="10"/>
      <c r="DA17" s="10"/>
      <c r="DB17" s="10"/>
      <c r="DC17" s="10"/>
      <c r="DD17" s="10"/>
      <c r="DE17" s="10"/>
      <c r="DF17" s="10"/>
      <c r="DG17" s="10"/>
      <c r="DH17" s="10"/>
    </row>
    <row r="18" spans="1:112" ht="14.4" x14ac:dyDescent="0.3">
      <c r="A18" s="13" t="s">
        <v>83</v>
      </c>
      <c r="B18" s="14">
        <v>45409</v>
      </c>
      <c r="C18" s="13" t="s">
        <v>84</v>
      </c>
      <c r="D18" s="13" t="s">
        <v>85</v>
      </c>
      <c r="E18" s="13" t="s">
        <v>62</v>
      </c>
      <c r="F18" s="13" t="s">
        <v>63</v>
      </c>
      <c r="G18" s="13" t="s">
        <v>20</v>
      </c>
      <c r="H18" s="13">
        <v>1</v>
      </c>
      <c r="I18" s="13">
        <v>899.99</v>
      </c>
      <c r="J18" s="13" t="s">
        <v>58</v>
      </c>
      <c r="K18" s="13" t="s">
        <v>41</v>
      </c>
      <c r="L18" s="13" t="s">
        <v>37</v>
      </c>
      <c r="M18" s="14">
        <v>44920</v>
      </c>
      <c r="N18" s="13">
        <v>899.99</v>
      </c>
      <c r="O18" s="10"/>
      <c r="P18" s="13"/>
      <c r="Q18" s="10"/>
      <c r="R18" s="17">
        <f t="shared" ca="1" si="2"/>
        <v>1252</v>
      </c>
      <c r="S18" s="43">
        <f t="shared" si="0"/>
        <v>45412</v>
      </c>
      <c r="T18" s="44" t="str">
        <f t="shared" si="1"/>
        <v>Nor</v>
      </c>
      <c r="U18" s="13"/>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c r="CW18" s="10"/>
      <c r="CX18" s="10"/>
      <c r="CY18" s="10"/>
      <c r="CZ18" s="10"/>
      <c r="DA18" s="10"/>
      <c r="DB18" s="10"/>
      <c r="DC18" s="10"/>
      <c r="DD18" s="10"/>
      <c r="DE18" s="10"/>
      <c r="DF18" s="10"/>
      <c r="DG18" s="10"/>
      <c r="DH18" s="10"/>
    </row>
    <row r="19" spans="1:112" ht="14.4" x14ac:dyDescent="0.3">
      <c r="A19" s="13" t="s">
        <v>86</v>
      </c>
      <c r="B19" s="14">
        <v>45410</v>
      </c>
      <c r="C19" s="13" t="s">
        <v>87</v>
      </c>
      <c r="D19" s="13" t="s">
        <v>88</v>
      </c>
      <c r="E19" s="13" t="s">
        <v>45</v>
      </c>
      <c r="F19" s="13" t="s">
        <v>46</v>
      </c>
      <c r="G19" s="13" t="s">
        <v>47</v>
      </c>
      <c r="H19" s="13">
        <v>4</v>
      </c>
      <c r="I19" s="13">
        <v>149.99</v>
      </c>
      <c r="J19" s="13" t="s">
        <v>58</v>
      </c>
      <c r="K19" s="13" t="s">
        <v>41</v>
      </c>
      <c r="L19" s="13" t="s">
        <v>28</v>
      </c>
      <c r="M19" s="14">
        <v>45374</v>
      </c>
      <c r="N19" s="13">
        <v>599.96</v>
      </c>
      <c r="O19" s="10"/>
      <c r="P19" s="13"/>
      <c r="Q19" s="10"/>
      <c r="R19" s="17">
        <f t="shared" ca="1" si="2"/>
        <v>798</v>
      </c>
      <c r="S19" s="43">
        <f t="shared" si="0"/>
        <v>45412</v>
      </c>
      <c r="T19" s="44" t="str">
        <f t="shared" si="1"/>
        <v>Nor</v>
      </c>
      <c r="U19" s="13"/>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0"/>
      <c r="BP19" s="10"/>
      <c r="BQ19" s="10"/>
      <c r="BR19" s="10"/>
      <c r="BS19" s="10"/>
      <c r="BT19" s="10"/>
      <c r="BU19" s="10"/>
      <c r="BV19" s="10"/>
      <c r="BW19" s="10"/>
      <c r="BX19" s="10"/>
      <c r="BY19" s="10"/>
      <c r="BZ19" s="10"/>
      <c r="CA19" s="10"/>
      <c r="CB19" s="10"/>
      <c r="CC19" s="10"/>
      <c r="CD19" s="10"/>
      <c r="CE19" s="10"/>
      <c r="CF19" s="10"/>
      <c r="CG19" s="10"/>
      <c r="CH19" s="10"/>
      <c r="CI19" s="10"/>
      <c r="CJ19" s="10"/>
      <c r="CK19" s="10"/>
      <c r="CL19" s="10"/>
      <c r="CM19" s="10"/>
      <c r="CN19" s="10"/>
      <c r="CO19" s="10"/>
      <c r="CP19" s="10"/>
      <c r="CQ19" s="10"/>
      <c r="CR19" s="10"/>
      <c r="CS19" s="10"/>
      <c r="CT19" s="10"/>
      <c r="CU19" s="10"/>
      <c r="CV19" s="10"/>
      <c r="CW19" s="10"/>
      <c r="CX19" s="10"/>
      <c r="CY19" s="10"/>
      <c r="CZ19" s="10"/>
      <c r="DA19" s="10"/>
      <c r="DB19" s="10"/>
      <c r="DC19" s="10"/>
      <c r="DD19" s="10"/>
      <c r="DE19" s="10"/>
      <c r="DF19" s="10"/>
      <c r="DG19" s="10"/>
      <c r="DH19" s="10"/>
    </row>
    <row r="20" spans="1:112" ht="14.4" x14ac:dyDescent="0.3">
      <c r="A20" s="13" t="s">
        <v>89</v>
      </c>
      <c r="B20" s="14">
        <v>45410</v>
      </c>
      <c r="C20" s="13" t="s">
        <v>90</v>
      </c>
      <c r="D20" s="13" t="s">
        <v>91</v>
      </c>
      <c r="E20" s="13" t="s">
        <v>81</v>
      </c>
      <c r="F20" s="13" t="s">
        <v>82</v>
      </c>
      <c r="G20" s="13" t="s">
        <v>20</v>
      </c>
      <c r="H20" s="13">
        <v>2</v>
      </c>
      <c r="I20" s="13">
        <v>699.99</v>
      </c>
      <c r="J20" s="13" t="s">
        <v>21</v>
      </c>
      <c r="K20" s="13" t="s">
        <v>41</v>
      </c>
      <c r="L20" s="13" t="s">
        <v>23</v>
      </c>
      <c r="M20" s="14">
        <v>44781</v>
      </c>
      <c r="N20" s="13">
        <v>1399.98</v>
      </c>
      <c r="O20" s="10"/>
      <c r="P20" s="13"/>
      <c r="Q20" s="10"/>
      <c r="R20" s="17">
        <f t="shared" ca="1" si="2"/>
        <v>1391</v>
      </c>
      <c r="S20" s="43">
        <f t="shared" si="0"/>
        <v>45412</v>
      </c>
      <c r="T20" s="44" t="str">
        <f t="shared" si="1"/>
        <v>Nor</v>
      </c>
      <c r="U20" s="13"/>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row>
    <row r="21" spans="1:112" ht="14.4" x14ac:dyDescent="0.3">
      <c r="A21" s="13" t="s">
        <v>92</v>
      </c>
      <c r="B21" s="14">
        <v>45410</v>
      </c>
      <c r="C21" s="13" t="s">
        <v>87</v>
      </c>
      <c r="D21" s="13" t="s">
        <v>88</v>
      </c>
      <c r="E21" s="13" t="s">
        <v>62</v>
      </c>
      <c r="F21" s="13" t="s">
        <v>63</v>
      </c>
      <c r="G21" s="13" t="s">
        <v>20</v>
      </c>
      <c r="H21" s="13">
        <v>4</v>
      </c>
      <c r="I21" s="13">
        <v>899.99</v>
      </c>
      <c r="J21" s="13" t="s">
        <v>27</v>
      </c>
      <c r="K21" s="13" t="s">
        <v>51</v>
      </c>
      <c r="L21" s="13" t="s">
        <v>37</v>
      </c>
      <c r="M21" s="14">
        <v>45327</v>
      </c>
      <c r="N21" s="13">
        <v>3599.96</v>
      </c>
      <c r="O21" s="10"/>
      <c r="P21" s="13"/>
      <c r="Q21" s="10"/>
      <c r="R21" s="17">
        <f t="shared" ca="1" si="2"/>
        <v>845</v>
      </c>
      <c r="S21" s="43">
        <f t="shared" si="0"/>
        <v>45412</v>
      </c>
      <c r="T21" s="44" t="str">
        <f t="shared" si="1"/>
        <v>Wes</v>
      </c>
      <c r="U21" s="13"/>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0"/>
      <c r="BP21" s="10"/>
      <c r="BQ21" s="10"/>
      <c r="BR21" s="10"/>
      <c r="BS21" s="10"/>
      <c r="BT21" s="10"/>
      <c r="BU21" s="10"/>
      <c r="BV21" s="10"/>
      <c r="BW21" s="10"/>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c r="CW21" s="10"/>
      <c r="CX21" s="10"/>
      <c r="CY21" s="10"/>
      <c r="CZ21" s="10"/>
      <c r="DA21" s="10"/>
      <c r="DB21" s="10"/>
      <c r="DC21" s="10"/>
      <c r="DD21" s="10"/>
      <c r="DE21" s="10"/>
      <c r="DF21" s="10"/>
      <c r="DG21" s="10"/>
      <c r="DH21" s="10"/>
    </row>
    <row r="22" spans="1:112" ht="15.75" customHeight="1" x14ac:dyDescent="0.3">
      <c r="A22" s="13" t="s">
        <v>93</v>
      </c>
      <c r="B22" s="14">
        <v>45410</v>
      </c>
      <c r="C22" s="13" t="s">
        <v>94</v>
      </c>
      <c r="D22" s="13" t="s">
        <v>95</v>
      </c>
      <c r="E22" s="13" t="s">
        <v>18</v>
      </c>
      <c r="F22" s="13" t="s">
        <v>19</v>
      </c>
      <c r="G22" s="13" t="s">
        <v>20</v>
      </c>
      <c r="H22" s="13">
        <v>3</v>
      </c>
      <c r="I22" s="13">
        <v>249.99</v>
      </c>
      <c r="J22" s="13" t="s">
        <v>27</v>
      </c>
      <c r="K22" s="13" t="s">
        <v>41</v>
      </c>
      <c r="L22" s="13" t="s">
        <v>28</v>
      </c>
      <c r="M22" s="14">
        <v>45224</v>
      </c>
      <c r="N22" s="13">
        <v>749.97</v>
      </c>
      <c r="O22" s="10"/>
      <c r="P22" s="13"/>
      <c r="Q22" s="10"/>
      <c r="R22" s="17">
        <f t="shared" ca="1" si="2"/>
        <v>948</v>
      </c>
      <c r="S22" s="43">
        <f t="shared" si="0"/>
        <v>45412</v>
      </c>
      <c r="T22" s="44" t="str">
        <f t="shared" si="1"/>
        <v>Nor</v>
      </c>
      <c r="U22" s="13"/>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c r="CW22" s="10"/>
      <c r="CX22" s="10"/>
      <c r="CY22" s="10"/>
      <c r="CZ22" s="10"/>
      <c r="DA22" s="10"/>
      <c r="DB22" s="10"/>
      <c r="DC22" s="10"/>
      <c r="DD22" s="10"/>
      <c r="DE22" s="10"/>
      <c r="DF22" s="10"/>
      <c r="DG22" s="10"/>
      <c r="DH22" s="10"/>
    </row>
    <row r="23" spans="1:112" ht="15.75" customHeight="1" x14ac:dyDescent="0.3">
      <c r="A23" s="13" t="s">
        <v>96</v>
      </c>
      <c r="B23" s="14">
        <v>45412</v>
      </c>
      <c r="C23" s="13" t="s">
        <v>97</v>
      </c>
      <c r="D23" s="13" t="s">
        <v>98</v>
      </c>
      <c r="E23" s="13" t="s">
        <v>81</v>
      </c>
      <c r="F23" s="13" t="s">
        <v>82</v>
      </c>
      <c r="G23" s="13" t="s">
        <v>20</v>
      </c>
      <c r="H23" s="13">
        <v>5</v>
      </c>
      <c r="I23" s="13">
        <v>699.99</v>
      </c>
      <c r="J23" s="13" t="s">
        <v>21</v>
      </c>
      <c r="K23" s="13" t="s">
        <v>51</v>
      </c>
      <c r="L23" s="13" t="s">
        <v>23</v>
      </c>
      <c r="M23" s="14">
        <v>45167</v>
      </c>
      <c r="N23" s="13">
        <v>3499.95</v>
      </c>
      <c r="O23" s="10"/>
      <c r="P23" s="13"/>
      <c r="Q23" s="10"/>
      <c r="R23" s="17">
        <f t="shared" ca="1" si="2"/>
        <v>1005</v>
      </c>
      <c r="S23" s="43">
        <f t="shared" si="0"/>
        <v>45412</v>
      </c>
      <c r="T23" s="44" t="str">
        <f t="shared" si="1"/>
        <v>Wes</v>
      </c>
      <c r="U23" s="13"/>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c r="CW23" s="10"/>
      <c r="CX23" s="10"/>
      <c r="CY23" s="10"/>
      <c r="CZ23" s="10"/>
      <c r="DA23" s="10"/>
      <c r="DB23" s="10"/>
      <c r="DC23" s="10"/>
      <c r="DD23" s="10"/>
      <c r="DE23" s="10"/>
      <c r="DF23" s="10"/>
      <c r="DG23" s="10"/>
      <c r="DH23" s="10"/>
    </row>
    <row r="24" spans="1:112" ht="15.75" customHeight="1" x14ac:dyDescent="0.3">
      <c r="A24" s="13" t="s">
        <v>99</v>
      </c>
      <c r="B24" s="14">
        <v>45413</v>
      </c>
      <c r="C24" s="13" t="s">
        <v>100</v>
      </c>
      <c r="D24" s="13" t="s">
        <v>101</v>
      </c>
      <c r="E24" s="13" t="s">
        <v>81</v>
      </c>
      <c r="F24" s="13" t="s">
        <v>82</v>
      </c>
      <c r="G24" s="13" t="s">
        <v>20</v>
      </c>
      <c r="H24" s="13">
        <v>4</v>
      </c>
      <c r="I24" s="13">
        <v>699.99</v>
      </c>
      <c r="J24" s="13" t="s">
        <v>21</v>
      </c>
      <c r="K24" s="13" t="s">
        <v>64</v>
      </c>
      <c r="L24" s="13" t="s">
        <v>37</v>
      </c>
      <c r="M24" s="14">
        <v>44409</v>
      </c>
      <c r="N24" s="13">
        <v>2799.96</v>
      </c>
      <c r="O24" s="10"/>
      <c r="P24" s="13"/>
      <c r="Q24" s="10"/>
      <c r="R24" s="17">
        <f t="shared" ca="1" si="2"/>
        <v>1763</v>
      </c>
      <c r="S24" s="43">
        <f t="shared" si="0"/>
        <v>45443</v>
      </c>
      <c r="T24" s="44" t="str">
        <f t="shared" si="1"/>
        <v>Eas</v>
      </c>
      <c r="U24" s="13"/>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c r="DA24" s="10"/>
      <c r="DB24" s="10"/>
      <c r="DC24" s="10"/>
      <c r="DD24" s="10"/>
      <c r="DE24" s="10"/>
      <c r="DF24" s="10"/>
      <c r="DG24" s="10"/>
      <c r="DH24" s="10"/>
    </row>
    <row r="25" spans="1:112" ht="15.75" customHeight="1" x14ac:dyDescent="0.3">
      <c r="A25" s="13" t="s">
        <v>102</v>
      </c>
      <c r="B25" s="14">
        <v>45415</v>
      </c>
      <c r="C25" s="13" t="s">
        <v>103</v>
      </c>
      <c r="D25" s="13" t="s">
        <v>104</v>
      </c>
      <c r="E25" s="13" t="s">
        <v>18</v>
      </c>
      <c r="F25" s="13" t="s">
        <v>19</v>
      </c>
      <c r="G25" s="13" t="s">
        <v>20</v>
      </c>
      <c r="H25" s="13">
        <v>4</v>
      </c>
      <c r="I25" s="13">
        <v>249.99</v>
      </c>
      <c r="J25" s="13" t="s">
        <v>35</v>
      </c>
      <c r="K25" s="13" t="s">
        <v>41</v>
      </c>
      <c r="L25" s="13" t="s">
        <v>37</v>
      </c>
      <c r="M25" s="14">
        <v>44468</v>
      </c>
      <c r="N25" s="13">
        <v>999.96</v>
      </c>
      <c r="O25" s="10"/>
      <c r="P25" s="13"/>
      <c r="Q25" s="10"/>
      <c r="R25" s="17">
        <f t="shared" ca="1" si="2"/>
        <v>1704</v>
      </c>
      <c r="S25" s="43">
        <f t="shared" si="0"/>
        <v>45443</v>
      </c>
      <c r="T25" s="44" t="str">
        <f t="shared" si="1"/>
        <v>Nor</v>
      </c>
      <c r="U25" s="13"/>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c r="BM25" s="10"/>
      <c r="BN25" s="10"/>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c r="CW25" s="10"/>
      <c r="CX25" s="10"/>
      <c r="CY25" s="10"/>
      <c r="CZ25" s="10"/>
      <c r="DA25" s="10"/>
      <c r="DB25" s="10"/>
      <c r="DC25" s="10"/>
      <c r="DD25" s="10"/>
      <c r="DE25" s="10"/>
      <c r="DF25" s="10"/>
      <c r="DG25" s="10"/>
      <c r="DH25" s="10"/>
    </row>
    <row r="26" spans="1:112" ht="15.75" customHeight="1" x14ac:dyDescent="0.3">
      <c r="A26" s="13" t="s">
        <v>105</v>
      </c>
      <c r="B26" s="14">
        <v>45416</v>
      </c>
      <c r="C26" s="13" t="s">
        <v>87</v>
      </c>
      <c r="D26" s="13" t="s">
        <v>88</v>
      </c>
      <c r="E26" s="13" t="s">
        <v>106</v>
      </c>
      <c r="F26" s="13" t="s">
        <v>107</v>
      </c>
      <c r="G26" s="13" t="s">
        <v>47</v>
      </c>
      <c r="H26" s="13">
        <v>4</v>
      </c>
      <c r="I26" s="13">
        <v>299.99</v>
      </c>
      <c r="J26" s="13" t="s">
        <v>21</v>
      </c>
      <c r="K26" s="13" t="s">
        <v>51</v>
      </c>
      <c r="L26" s="13" t="s">
        <v>28</v>
      </c>
      <c r="M26" s="14">
        <v>44716</v>
      </c>
      <c r="N26" s="13">
        <v>1199.96</v>
      </c>
      <c r="O26" s="10"/>
      <c r="P26" s="13"/>
      <c r="Q26" s="10"/>
      <c r="R26" s="17">
        <f t="shared" ca="1" si="2"/>
        <v>1456</v>
      </c>
      <c r="S26" s="43">
        <f t="shared" si="0"/>
        <v>45443</v>
      </c>
      <c r="T26" s="44" t="str">
        <f t="shared" si="1"/>
        <v>Wes</v>
      </c>
      <c r="U26" s="13"/>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c r="CW26" s="10"/>
      <c r="CX26" s="10"/>
      <c r="CY26" s="10"/>
      <c r="CZ26" s="10"/>
      <c r="DA26" s="10"/>
      <c r="DB26" s="10"/>
      <c r="DC26" s="10"/>
      <c r="DD26" s="10"/>
      <c r="DE26" s="10"/>
      <c r="DF26" s="10"/>
      <c r="DG26" s="10"/>
      <c r="DH26" s="10"/>
    </row>
    <row r="27" spans="1:112" ht="15.75" customHeight="1" x14ac:dyDescent="0.3">
      <c r="A27" s="13" t="s">
        <v>108</v>
      </c>
      <c r="B27" s="14">
        <v>45422</v>
      </c>
      <c r="C27" s="13" t="s">
        <v>109</v>
      </c>
      <c r="D27" s="13" t="s">
        <v>110</v>
      </c>
      <c r="E27" s="13" t="s">
        <v>18</v>
      </c>
      <c r="F27" s="13" t="s">
        <v>19</v>
      </c>
      <c r="G27" s="13" t="s">
        <v>20</v>
      </c>
      <c r="H27" s="13">
        <v>5</v>
      </c>
      <c r="I27" s="13">
        <v>249.99</v>
      </c>
      <c r="J27" s="13" t="s">
        <v>27</v>
      </c>
      <c r="K27" s="13" t="s">
        <v>51</v>
      </c>
      <c r="L27" s="13" t="s">
        <v>37</v>
      </c>
      <c r="M27" s="14">
        <v>44525</v>
      </c>
      <c r="N27" s="13">
        <v>1249.95</v>
      </c>
      <c r="O27" s="10"/>
      <c r="P27" s="13"/>
      <c r="Q27" s="10"/>
      <c r="R27" s="17">
        <f t="shared" ca="1" si="2"/>
        <v>1647</v>
      </c>
      <c r="S27" s="43">
        <f t="shared" si="0"/>
        <v>45443</v>
      </c>
      <c r="T27" s="44" t="str">
        <f t="shared" si="1"/>
        <v>Wes</v>
      </c>
      <c r="U27" s="13"/>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c r="CW27" s="10"/>
      <c r="CX27" s="10"/>
      <c r="CY27" s="10"/>
      <c r="CZ27" s="10"/>
      <c r="DA27" s="10"/>
      <c r="DB27" s="10"/>
      <c r="DC27" s="10"/>
      <c r="DD27" s="10"/>
      <c r="DE27" s="10"/>
      <c r="DF27" s="10"/>
      <c r="DG27" s="10"/>
      <c r="DH27" s="10"/>
    </row>
    <row r="28" spans="1:112" ht="15.75" customHeight="1" x14ac:dyDescent="0.3">
      <c r="A28" s="13" t="s">
        <v>111</v>
      </c>
      <c r="B28" s="14">
        <v>45424</v>
      </c>
      <c r="C28" s="13" t="s">
        <v>69</v>
      </c>
      <c r="D28" s="13" t="s">
        <v>70</v>
      </c>
      <c r="E28" s="13" t="s">
        <v>106</v>
      </c>
      <c r="F28" s="13" t="s">
        <v>107</v>
      </c>
      <c r="G28" s="13" t="s">
        <v>47</v>
      </c>
      <c r="H28" s="13">
        <v>5</v>
      </c>
      <c r="I28" s="13">
        <v>299.99</v>
      </c>
      <c r="J28" s="13" t="s">
        <v>35</v>
      </c>
      <c r="K28" s="13" t="s">
        <v>64</v>
      </c>
      <c r="L28" s="13" t="s">
        <v>23</v>
      </c>
      <c r="M28" s="14">
        <v>45168</v>
      </c>
      <c r="N28" s="13">
        <v>1499.95</v>
      </c>
      <c r="O28" s="10"/>
      <c r="P28" s="13"/>
      <c r="Q28" s="10"/>
      <c r="R28" s="17">
        <f t="shared" ca="1" si="2"/>
        <v>1004</v>
      </c>
      <c r="S28" s="43">
        <f t="shared" si="0"/>
        <v>45443</v>
      </c>
      <c r="T28" s="44" t="str">
        <f t="shared" si="1"/>
        <v>Eas</v>
      </c>
      <c r="U28" s="13"/>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10"/>
      <c r="CX28" s="10"/>
      <c r="CY28" s="10"/>
      <c r="CZ28" s="10"/>
      <c r="DA28" s="10"/>
      <c r="DB28" s="10"/>
      <c r="DC28" s="10"/>
      <c r="DD28" s="10"/>
      <c r="DE28" s="10"/>
      <c r="DF28" s="10"/>
      <c r="DG28" s="10"/>
      <c r="DH28" s="10"/>
    </row>
    <row r="29" spans="1:112" ht="15.75" customHeight="1" x14ac:dyDescent="0.3">
      <c r="A29" s="13" t="s">
        <v>112</v>
      </c>
      <c r="B29" s="14">
        <v>45424</v>
      </c>
      <c r="C29" s="13" t="s">
        <v>113</v>
      </c>
      <c r="D29" s="13" t="s">
        <v>114</v>
      </c>
      <c r="E29" s="13" t="s">
        <v>115</v>
      </c>
      <c r="F29" s="13" t="s">
        <v>116</v>
      </c>
      <c r="G29" s="13" t="s">
        <v>34</v>
      </c>
      <c r="H29" s="13">
        <v>3</v>
      </c>
      <c r="I29" s="13">
        <v>79.989999999999995</v>
      </c>
      <c r="J29" s="13" t="s">
        <v>35</v>
      </c>
      <c r="K29" s="13" t="s">
        <v>64</v>
      </c>
      <c r="L29" s="13" t="s">
        <v>28</v>
      </c>
      <c r="M29" s="14">
        <v>45012</v>
      </c>
      <c r="N29" s="13">
        <v>239.97</v>
      </c>
      <c r="O29" s="10"/>
      <c r="P29" s="13"/>
      <c r="Q29" s="10"/>
      <c r="R29" s="17">
        <f t="shared" ca="1" si="2"/>
        <v>1160</v>
      </c>
      <c r="S29" s="43">
        <f t="shared" si="0"/>
        <v>45443</v>
      </c>
      <c r="T29" s="44" t="str">
        <f t="shared" si="1"/>
        <v>Eas</v>
      </c>
      <c r="U29" s="13"/>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c r="CW29" s="10"/>
      <c r="CX29" s="10"/>
      <c r="CY29" s="10"/>
      <c r="CZ29" s="10"/>
      <c r="DA29" s="10"/>
      <c r="DB29" s="10"/>
      <c r="DC29" s="10"/>
      <c r="DD29" s="10"/>
      <c r="DE29" s="10"/>
      <c r="DF29" s="10"/>
      <c r="DG29" s="10"/>
      <c r="DH29" s="10"/>
    </row>
    <row r="30" spans="1:112" ht="15.75" customHeight="1" x14ac:dyDescent="0.3">
      <c r="A30" s="13" t="s">
        <v>117</v>
      </c>
      <c r="B30" s="14">
        <v>45424</v>
      </c>
      <c r="C30" s="13" t="s">
        <v>100</v>
      </c>
      <c r="D30" s="13" t="s">
        <v>101</v>
      </c>
      <c r="E30" s="13" t="s">
        <v>118</v>
      </c>
      <c r="F30" s="13" t="s">
        <v>119</v>
      </c>
      <c r="G30" s="13" t="s">
        <v>20</v>
      </c>
      <c r="H30" s="13">
        <v>5</v>
      </c>
      <c r="I30" s="13">
        <v>89.99</v>
      </c>
      <c r="J30" s="13" t="s">
        <v>21</v>
      </c>
      <c r="K30" s="13" t="s">
        <v>41</v>
      </c>
      <c r="L30" s="13" t="s">
        <v>28</v>
      </c>
      <c r="M30" s="14">
        <v>44919</v>
      </c>
      <c r="N30" s="13">
        <v>449.95</v>
      </c>
      <c r="O30" s="10"/>
      <c r="P30" s="13"/>
      <c r="Q30" s="10"/>
      <c r="R30" s="17">
        <f t="shared" ca="1" si="2"/>
        <v>1253</v>
      </c>
      <c r="S30" s="43">
        <f t="shared" si="0"/>
        <v>45443</v>
      </c>
      <c r="T30" s="44" t="str">
        <f t="shared" si="1"/>
        <v>Nor</v>
      </c>
      <c r="U30" s="13"/>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c r="CW30" s="10"/>
      <c r="CX30" s="10"/>
      <c r="CY30" s="10"/>
      <c r="CZ30" s="10"/>
      <c r="DA30" s="10"/>
      <c r="DB30" s="10"/>
      <c r="DC30" s="10"/>
      <c r="DD30" s="10"/>
      <c r="DE30" s="10"/>
      <c r="DF30" s="10"/>
      <c r="DG30" s="10"/>
      <c r="DH30" s="10"/>
    </row>
    <row r="31" spans="1:112" ht="15.75" customHeight="1" x14ac:dyDescent="0.3">
      <c r="A31" s="13" t="s">
        <v>120</v>
      </c>
      <c r="B31" s="14">
        <v>45425</v>
      </c>
      <c r="C31" s="13" t="s">
        <v>121</v>
      </c>
      <c r="D31" s="13" t="s">
        <v>122</v>
      </c>
      <c r="E31" s="13" t="s">
        <v>32</v>
      </c>
      <c r="F31" s="13" t="s">
        <v>33</v>
      </c>
      <c r="G31" s="13" t="s">
        <v>34</v>
      </c>
      <c r="H31" s="13">
        <v>2</v>
      </c>
      <c r="I31" s="13">
        <v>59.99</v>
      </c>
      <c r="J31" s="13" t="s">
        <v>58</v>
      </c>
      <c r="K31" s="13" t="s">
        <v>22</v>
      </c>
      <c r="L31" s="13" t="s">
        <v>37</v>
      </c>
      <c r="M31" s="14">
        <v>45214</v>
      </c>
      <c r="N31" s="13">
        <v>119.98</v>
      </c>
      <c r="O31" s="10"/>
      <c r="P31" s="13"/>
      <c r="Q31" s="10"/>
      <c r="R31" s="17">
        <f t="shared" ca="1" si="2"/>
        <v>958</v>
      </c>
      <c r="S31" s="43">
        <f t="shared" si="0"/>
        <v>45443</v>
      </c>
      <c r="T31" s="44" t="str">
        <f t="shared" si="1"/>
        <v>Cen</v>
      </c>
      <c r="U31" s="13"/>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c r="CW31" s="10"/>
      <c r="CX31" s="10"/>
      <c r="CY31" s="10"/>
      <c r="CZ31" s="10"/>
      <c r="DA31" s="10"/>
      <c r="DB31" s="10"/>
      <c r="DC31" s="10"/>
      <c r="DD31" s="10"/>
      <c r="DE31" s="10"/>
      <c r="DF31" s="10"/>
      <c r="DG31" s="10"/>
      <c r="DH31" s="10"/>
    </row>
    <row r="32" spans="1:112" ht="15.75" customHeight="1" x14ac:dyDescent="0.3">
      <c r="A32" s="13" t="s">
        <v>123</v>
      </c>
      <c r="B32" s="14">
        <v>45427</v>
      </c>
      <c r="C32" s="13" t="s">
        <v>124</v>
      </c>
      <c r="D32" s="13" t="s">
        <v>125</v>
      </c>
      <c r="E32" s="13" t="s">
        <v>32</v>
      </c>
      <c r="F32" s="13" t="s">
        <v>33</v>
      </c>
      <c r="G32" s="13" t="s">
        <v>34</v>
      </c>
      <c r="H32" s="13">
        <v>4</v>
      </c>
      <c r="I32" s="13">
        <v>59.99</v>
      </c>
      <c r="J32" s="13" t="s">
        <v>58</v>
      </c>
      <c r="K32" s="13" t="s">
        <v>64</v>
      </c>
      <c r="L32" s="13" t="s">
        <v>37</v>
      </c>
      <c r="M32" s="14">
        <v>44867</v>
      </c>
      <c r="N32" s="13">
        <v>239.96</v>
      </c>
      <c r="O32" s="10"/>
      <c r="P32" s="13"/>
      <c r="Q32" s="10"/>
      <c r="R32" s="17">
        <f t="shared" ca="1" si="2"/>
        <v>1305</v>
      </c>
      <c r="S32" s="43">
        <f t="shared" si="0"/>
        <v>45443</v>
      </c>
      <c r="T32" s="44" t="str">
        <f t="shared" si="1"/>
        <v>Eas</v>
      </c>
      <c r="U32" s="13"/>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c r="CW32" s="10"/>
      <c r="CX32" s="10"/>
      <c r="CY32" s="10"/>
      <c r="CZ32" s="10"/>
      <c r="DA32" s="10"/>
      <c r="DB32" s="10"/>
      <c r="DC32" s="10"/>
      <c r="DD32" s="10"/>
      <c r="DE32" s="10"/>
      <c r="DF32" s="10"/>
      <c r="DG32" s="10"/>
      <c r="DH32" s="10"/>
    </row>
    <row r="33" spans="1:112" ht="15.75" customHeight="1" x14ac:dyDescent="0.3">
      <c r="A33" s="13" t="s">
        <v>126</v>
      </c>
      <c r="B33" s="14">
        <v>45427</v>
      </c>
      <c r="C33" s="13" t="s">
        <v>56</v>
      </c>
      <c r="D33" s="13" t="s">
        <v>57</v>
      </c>
      <c r="E33" s="13" t="s">
        <v>127</v>
      </c>
      <c r="F33" s="13" t="s">
        <v>128</v>
      </c>
      <c r="G33" s="13" t="s">
        <v>47</v>
      </c>
      <c r="H33" s="13">
        <v>5</v>
      </c>
      <c r="I33" s="13">
        <v>199.99</v>
      </c>
      <c r="J33" s="13" t="s">
        <v>21</v>
      </c>
      <c r="K33" s="13" t="s">
        <v>36</v>
      </c>
      <c r="L33" s="13" t="s">
        <v>37</v>
      </c>
      <c r="M33" s="14">
        <v>44412</v>
      </c>
      <c r="N33" s="13">
        <v>999.95</v>
      </c>
      <c r="O33" s="10"/>
      <c r="P33" s="13"/>
      <c r="Q33" s="10"/>
      <c r="R33" s="17">
        <f t="shared" ca="1" si="2"/>
        <v>1760</v>
      </c>
      <c r="S33" s="43">
        <f t="shared" si="0"/>
        <v>45443</v>
      </c>
      <c r="T33" s="44" t="str">
        <f t="shared" si="1"/>
        <v>Sou</v>
      </c>
      <c r="U33" s="13"/>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c r="CW33" s="10"/>
      <c r="CX33" s="10"/>
      <c r="CY33" s="10"/>
      <c r="CZ33" s="10"/>
      <c r="DA33" s="10"/>
      <c r="DB33" s="10"/>
      <c r="DC33" s="10"/>
      <c r="DD33" s="10"/>
      <c r="DE33" s="10"/>
      <c r="DF33" s="10"/>
      <c r="DG33" s="10"/>
      <c r="DH33" s="10"/>
    </row>
    <row r="34" spans="1:112" ht="15.75" customHeight="1" x14ac:dyDescent="0.3">
      <c r="A34" s="13" t="s">
        <v>129</v>
      </c>
      <c r="B34" s="14">
        <v>45428</v>
      </c>
      <c r="C34" s="13" t="s">
        <v>130</v>
      </c>
      <c r="D34" s="13" t="s">
        <v>131</v>
      </c>
      <c r="E34" s="13" t="s">
        <v>45</v>
      </c>
      <c r="F34" s="13" t="s">
        <v>46</v>
      </c>
      <c r="G34" s="13" t="s">
        <v>47</v>
      </c>
      <c r="H34" s="13">
        <v>2</v>
      </c>
      <c r="I34" s="13">
        <v>149.99</v>
      </c>
      <c r="J34" s="13" t="s">
        <v>27</v>
      </c>
      <c r="K34" s="13" t="s">
        <v>51</v>
      </c>
      <c r="L34" s="13" t="s">
        <v>23</v>
      </c>
      <c r="M34" s="14">
        <v>44823</v>
      </c>
      <c r="N34" s="13">
        <v>299.98</v>
      </c>
      <c r="O34" s="10"/>
      <c r="P34" s="13"/>
      <c r="Q34" s="10"/>
      <c r="R34" s="17">
        <f t="shared" ca="1" si="2"/>
        <v>1349</v>
      </c>
      <c r="S34" s="43">
        <f t="shared" si="0"/>
        <v>45443</v>
      </c>
      <c r="T34" s="44" t="str">
        <f t="shared" si="1"/>
        <v>Wes</v>
      </c>
      <c r="U34" s="13"/>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c r="CW34" s="10"/>
      <c r="CX34" s="10"/>
      <c r="CY34" s="10"/>
      <c r="CZ34" s="10"/>
      <c r="DA34" s="10"/>
      <c r="DB34" s="10"/>
      <c r="DC34" s="10"/>
      <c r="DD34" s="10"/>
      <c r="DE34" s="10"/>
      <c r="DF34" s="10"/>
      <c r="DG34" s="10"/>
      <c r="DH34" s="10"/>
    </row>
    <row r="35" spans="1:112" ht="15.75" customHeight="1" x14ac:dyDescent="0.3">
      <c r="A35" s="13" t="s">
        <v>132</v>
      </c>
      <c r="B35" s="14">
        <v>45430</v>
      </c>
      <c r="C35" s="13" t="s">
        <v>133</v>
      </c>
      <c r="D35" s="13" t="s">
        <v>134</v>
      </c>
      <c r="E35" s="13" t="s">
        <v>45</v>
      </c>
      <c r="F35" s="13" t="s">
        <v>46</v>
      </c>
      <c r="G35" s="13" t="s">
        <v>47</v>
      </c>
      <c r="H35" s="13">
        <v>3</v>
      </c>
      <c r="I35" s="13">
        <v>149.99</v>
      </c>
      <c r="J35" s="13" t="s">
        <v>27</v>
      </c>
      <c r="K35" s="13" t="s">
        <v>51</v>
      </c>
      <c r="L35" s="13" t="s">
        <v>28</v>
      </c>
      <c r="M35" s="14">
        <v>45068</v>
      </c>
      <c r="N35" s="13">
        <v>449.97</v>
      </c>
      <c r="O35" s="10"/>
      <c r="P35" s="13"/>
      <c r="Q35" s="10"/>
      <c r="R35" s="17">
        <f t="shared" ca="1" si="2"/>
        <v>1104</v>
      </c>
      <c r="S35" s="43">
        <f t="shared" si="0"/>
        <v>45443</v>
      </c>
      <c r="T35" s="44" t="str">
        <f t="shared" si="1"/>
        <v>Wes</v>
      </c>
      <c r="U35" s="13"/>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c r="CW35" s="10"/>
      <c r="CX35" s="10"/>
      <c r="CY35" s="10"/>
      <c r="CZ35" s="10"/>
      <c r="DA35" s="10"/>
      <c r="DB35" s="10"/>
      <c r="DC35" s="10"/>
      <c r="DD35" s="10"/>
      <c r="DE35" s="10"/>
      <c r="DF35" s="10"/>
      <c r="DG35" s="10"/>
      <c r="DH35" s="10"/>
    </row>
    <row r="36" spans="1:112" ht="15.75" customHeight="1" x14ac:dyDescent="0.3">
      <c r="A36" s="13" t="s">
        <v>135</v>
      </c>
      <c r="B36" s="14">
        <v>45432</v>
      </c>
      <c r="C36" s="13" t="s">
        <v>30</v>
      </c>
      <c r="D36" s="13" t="s">
        <v>31</v>
      </c>
      <c r="E36" s="13" t="s">
        <v>62</v>
      </c>
      <c r="F36" s="13" t="s">
        <v>63</v>
      </c>
      <c r="G36" s="13" t="s">
        <v>20</v>
      </c>
      <c r="H36" s="13">
        <v>1</v>
      </c>
      <c r="I36" s="13">
        <v>899.99</v>
      </c>
      <c r="J36" s="13" t="s">
        <v>27</v>
      </c>
      <c r="K36" s="13" t="s">
        <v>51</v>
      </c>
      <c r="L36" s="13" t="s">
        <v>28</v>
      </c>
      <c r="M36" s="14">
        <v>44578</v>
      </c>
      <c r="N36" s="13">
        <v>899.99</v>
      </c>
      <c r="O36" s="10"/>
      <c r="P36" s="13"/>
      <c r="Q36" s="10"/>
      <c r="R36" s="17">
        <f t="shared" ca="1" si="2"/>
        <v>1594</v>
      </c>
      <c r="S36" s="43">
        <f t="shared" si="0"/>
        <v>45443</v>
      </c>
      <c r="T36" s="44" t="str">
        <f t="shared" si="1"/>
        <v>Wes</v>
      </c>
      <c r="U36" s="13"/>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c r="CW36" s="10"/>
      <c r="CX36" s="10"/>
      <c r="CY36" s="10"/>
      <c r="CZ36" s="10"/>
      <c r="DA36" s="10"/>
      <c r="DB36" s="10"/>
      <c r="DC36" s="10"/>
      <c r="DD36" s="10"/>
      <c r="DE36" s="10"/>
      <c r="DF36" s="10"/>
      <c r="DG36" s="10"/>
      <c r="DH36" s="10"/>
    </row>
    <row r="37" spans="1:112" ht="15.75" customHeight="1" x14ac:dyDescent="0.3">
      <c r="A37" s="13" t="s">
        <v>136</v>
      </c>
      <c r="B37" s="14">
        <v>45434</v>
      </c>
      <c r="C37" s="13" t="s">
        <v>100</v>
      </c>
      <c r="D37" s="13" t="s">
        <v>101</v>
      </c>
      <c r="E37" s="13" t="s">
        <v>106</v>
      </c>
      <c r="F37" s="13" t="s">
        <v>107</v>
      </c>
      <c r="G37" s="13" t="s">
        <v>47</v>
      </c>
      <c r="H37" s="13">
        <v>3</v>
      </c>
      <c r="I37" s="13">
        <v>299.99</v>
      </c>
      <c r="J37" s="13" t="s">
        <v>27</v>
      </c>
      <c r="K37" s="13" t="s">
        <v>64</v>
      </c>
      <c r="L37" s="13" t="s">
        <v>23</v>
      </c>
      <c r="M37" s="14">
        <v>44824</v>
      </c>
      <c r="N37" s="13">
        <v>899.97</v>
      </c>
      <c r="O37" s="10"/>
      <c r="P37" s="13"/>
      <c r="Q37" s="10"/>
      <c r="R37" s="17">
        <f t="shared" ca="1" si="2"/>
        <v>1348</v>
      </c>
      <c r="S37" s="43">
        <f t="shared" si="0"/>
        <v>45443</v>
      </c>
      <c r="T37" s="44" t="str">
        <f t="shared" si="1"/>
        <v>Eas</v>
      </c>
      <c r="U37" s="13"/>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10"/>
      <c r="CQ37" s="10"/>
      <c r="CR37" s="10"/>
      <c r="CS37" s="10"/>
      <c r="CT37" s="10"/>
      <c r="CU37" s="10"/>
      <c r="CV37" s="10"/>
      <c r="CW37" s="10"/>
      <c r="CX37" s="10"/>
      <c r="CY37" s="10"/>
      <c r="CZ37" s="10"/>
      <c r="DA37" s="10"/>
      <c r="DB37" s="10"/>
      <c r="DC37" s="10"/>
      <c r="DD37" s="10"/>
      <c r="DE37" s="10"/>
      <c r="DF37" s="10"/>
      <c r="DG37" s="10"/>
      <c r="DH37" s="10"/>
    </row>
    <row r="38" spans="1:112" ht="15.75" customHeight="1" x14ac:dyDescent="0.3">
      <c r="A38" s="13" t="s">
        <v>137</v>
      </c>
      <c r="B38" s="14">
        <v>45435</v>
      </c>
      <c r="C38" s="13" t="s">
        <v>130</v>
      </c>
      <c r="D38" s="13" t="s">
        <v>131</v>
      </c>
      <c r="E38" s="13" t="s">
        <v>115</v>
      </c>
      <c r="F38" s="13" t="s">
        <v>116</v>
      </c>
      <c r="G38" s="13" t="s">
        <v>34</v>
      </c>
      <c r="H38" s="13">
        <v>3</v>
      </c>
      <c r="I38" s="13">
        <v>79.989999999999995</v>
      </c>
      <c r="J38" s="13" t="s">
        <v>21</v>
      </c>
      <c r="K38" s="13" t="s">
        <v>36</v>
      </c>
      <c r="L38" s="13" t="s">
        <v>23</v>
      </c>
      <c r="M38" s="14">
        <v>45046</v>
      </c>
      <c r="N38" s="13">
        <v>239.97</v>
      </c>
      <c r="O38" s="10"/>
      <c r="P38" s="13"/>
      <c r="Q38" s="10"/>
      <c r="R38" s="17">
        <f t="shared" ca="1" si="2"/>
        <v>1126</v>
      </c>
      <c r="S38" s="43">
        <f t="shared" si="0"/>
        <v>45443</v>
      </c>
      <c r="T38" s="44" t="str">
        <f t="shared" si="1"/>
        <v>Sou</v>
      </c>
      <c r="U38" s="13"/>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c r="CW38" s="10"/>
      <c r="CX38" s="10"/>
      <c r="CY38" s="10"/>
      <c r="CZ38" s="10"/>
      <c r="DA38" s="10"/>
      <c r="DB38" s="10"/>
      <c r="DC38" s="10"/>
      <c r="DD38" s="10"/>
      <c r="DE38" s="10"/>
      <c r="DF38" s="10"/>
      <c r="DG38" s="10"/>
      <c r="DH38" s="10"/>
    </row>
    <row r="39" spans="1:112" ht="15.75" customHeight="1" x14ac:dyDescent="0.3">
      <c r="A39" s="13" t="s">
        <v>138</v>
      </c>
      <c r="B39" s="14">
        <v>45438</v>
      </c>
      <c r="C39" s="13" t="s">
        <v>139</v>
      </c>
      <c r="D39" s="13" t="s">
        <v>140</v>
      </c>
      <c r="E39" s="13" t="s">
        <v>127</v>
      </c>
      <c r="F39" s="13" t="s">
        <v>128</v>
      </c>
      <c r="G39" s="13" t="s">
        <v>47</v>
      </c>
      <c r="H39" s="13">
        <v>3</v>
      </c>
      <c r="I39" s="13">
        <v>199.99</v>
      </c>
      <c r="J39" s="13" t="s">
        <v>27</v>
      </c>
      <c r="K39" s="13" t="s">
        <v>41</v>
      </c>
      <c r="L39" s="13" t="s">
        <v>28</v>
      </c>
      <c r="M39" s="14">
        <v>45292</v>
      </c>
      <c r="N39" s="13">
        <v>599.97</v>
      </c>
      <c r="O39" s="10"/>
      <c r="P39" s="13"/>
      <c r="Q39" s="10"/>
      <c r="R39" s="17">
        <f t="shared" ca="1" si="2"/>
        <v>880</v>
      </c>
      <c r="S39" s="43">
        <f t="shared" si="0"/>
        <v>45443</v>
      </c>
      <c r="T39" s="44" t="str">
        <f t="shared" si="1"/>
        <v>Nor</v>
      </c>
      <c r="U39" s="13"/>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10"/>
      <c r="CQ39" s="10"/>
      <c r="CR39" s="10"/>
      <c r="CS39" s="10"/>
      <c r="CT39" s="10"/>
      <c r="CU39" s="10"/>
      <c r="CV39" s="10"/>
      <c r="CW39" s="10"/>
      <c r="CX39" s="10"/>
      <c r="CY39" s="10"/>
      <c r="CZ39" s="10"/>
      <c r="DA39" s="10"/>
      <c r="DB39" s="10"/>
      <c r="DC39" s="10"/>
      <c r="DD39" s="10"/>
      <c r="DE39" s="10"/>
      <c r="DF39" s="10"/>
      <c r="DG39" s="10"/>
      <c r="DH39" s="10"/>
    </row>
    <row r="40" spans="1:112" ht="15.75" customHeight="1" x14ac:dyDescent="0.3">
      <c r="A40" s="13" t="s">
        <v>141</v>
      </c>
      <c r="B40" s="14">
        <v>45440</v>
      </c>
      <c r="C40" s="13" t="s">
        <v>142</v>
      </c>
      <c r="D40" s="13" t="s">
        <v>143</v>
      </c>
      <c r="E40" s="13" t="s">
        <v>81</v>
      </c>
      <c r="F40" s="13" t="s">
        <v>82</v>
      </c>
      <c r="G40" s="13" t="s">
        <v>20</v>
      </c>
      <c r="H40" s="13">
        <v>5</v>
      </c>
      <c r="I40" s="13">
        <v>699.99</v>
      </c>
      <c r="J40" s="13" t="s">
        <v>35</v>
      </c>
      <c r="K40" s="13" t="s">
        <v>51</v>
      </c>
      <c r="L40" s="13" t="s">
        <v>37</v>
      </c>
      <c r="M40" s="14">
        <v>44407</v>
      </c>
      <c r="N40" s="13">
        <v>3499.95</v>
      </c>
      <c r="O40" s="10"/>
      <c r="P40" s="13"/>
      <c r="Q40" s="10"/>
      <c r="R40" s="17">
        <f t="shared" ca="1" si="2"/>
        <v>1765</v>
      </c>
      <c r="S40" s="43">
        <f t="shared" si="0"/>
        <v>45443</v>
      </c>
      <c r="T40" s="44" t="str">
        <f t="shared" si="1"/>
        <v>Wes</v>
      </c>
      <c r="U40" s="13"/>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c r="CW40" s="10"/>
      <c r="CX40" s="10"/>
      <c r="CY40" s="10"/>
      <c r="CZ40" s="10"/>
      <c r="DA40" s="10"/>
      <c r="DB40" s="10"/>
      <c r="DC40" s="10"/>
      <c r="DD40" s="10"/>
      <c r="DE40" s="10"/>
      <c r="DF40" s="10"/>
      <c r="DG40" s="10"/>
      <c r="DH40" s="10"/>
    </row>
    <row r="41" spans="1:112" ht="15.75" customHeight="1" x14ac:dyDescent="0.3">
      <c r="A41" s="13" t="s">
        <v>144</v>
      </c>
      <c r="B41" s="14">
        <v>45441</v>
      </c>
      <c r="C41" s="13" t="s">
        <v>145</v>
      </c>
      <c r="D41" s="13" t="s">
        <v>146</v>
      </c>
      <c r="E41" s="13" t="s">
        <v>118</v>
      </c>
      <c r="F41" s="13" t="s">
        <v>119</v>
      </c>
      <c r="G41" s="13" t="s">
        <v>20</v>
      </c>
      <c r="H41" s="13">
        <v>3</v>
      </c>
      <c r="I41" s="13">
        <v>89.99</v>
      </c>
      <c r="J41" s="13" t="s">
        <v>35</v>
      </c>
      <c r="K41" s="13" t="s">
        <v>22</v>
      </c>
      <c r="L41" s="13" t="s">
        <v>28</v>
      </c>
      <c r="M41" s="14">
        <v>45120</v>
      </c>
      <c r="N41" s="13">
        <v>269.97000000000003</v>
      </c>
      <c r="O41" s="10"/>
      <c r="P41" s="13"/>
      <c r="Q41" s="10"/>
      <c r="R41" s="17">
        <f t="shared" ca="1" si="2"/>
        <v>1052</v>
      </c>
      <c r="S41" s="43">
        <f t="shared" si="0"/>
        <v>45443</v>
      </c>
      <c r="T41" s="44" t="str">
        <f t="shared" si="1"/>
        <v>Cen</v>
      </c>
      <c r="U41" s="13"/>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10"/>
      <c r="CI41" s="10"/>
      <c r="CJ41" s="10"/>
      <c r="CK41" s="10"/>
      <c r="CL41" s="10"/>
      <c r="CM41" s="10"/>
      <c r="CN41" s="10"/>
      <c r="CO41" s="10"/>
      <c r="CP41" s="10"/>
      <c r="CQ41" s="10"/>
      <c r="CR41" s="10"/>
      <c r="CS41" s="10"/>
      <c r="CT41" s="10"/>
      <c r="CU41" s="10"/>
      <c r="CV41" s="10"/>
      <c r="CW41" s="10"/>
      <c r="CX41" s="10"/>
      <c r="CY41" s="10"/>
      <c r="CZ41" s="10"/>
      <c r="DA41" s="10"/>
      <c r="DB41" s="10"/>
      <c r="DC41" s="10"/>
      <c r="DD41" s="10"/>
      <c r="DE41" s="10"/>
      <c r="DF41" s="10"/>
      <c r="DG41" s="10"/>
      <c r="DH41" s="10"/>
    </row>
    <row r="42" spans="1:112" ht="15.75" customHeight="1" x14ac:dyDescent="0.3">
      <c r="A42" s="13" t="s">
        <v>147</v>
      </c>
      <c r="B42" s="14">
        <v>45443</v>
      </c>
      <c r="C42" s="13" t="s">
        <v>148</v>
      </c>
      <c r="D42" s="13" t="s">
        <v>149</v>
      </c>
      <c r="E42" s="13" t="s">
        <v>115</v>
      </c>
      <c r="F42" s="13" t="s">
        <v>116</v>
      </c>
      <c r="G42" s="13" t="s">
        <v>34</v>
      </c>
      <c r="H42" s="13">
        <v>1</v>
      </c>
      <c r="I42" s="13">
        <v>79.989999999999995</v>
      </c>
      <c r="J42" s="13" t="s">
        <v>21</v>
      </c>
      <c r="K42" s="13" t="s">
        <v>41</v>
      </c>
      <c r="L42" s="13" t="s">
        <v>37</v>
      </c>
      <c r="M42" s="14">
        <v>44917</v>
      </c>
      <c r="N42" s="13">
        <v>79.989999999999995</v>
      </c>
      <c r="O42" s="10"/>
      <c r="P42" s="13"/>
      <c r="Q42" s="10"/>
      <c r="R42" s="17">
        <f t="shared" ca="1" si="2"/>
        <v>1255</v>
      </c>
      <c r="S42" s="43">
        <f t="shared" si="0"/>
        <v>45443</v>
      </c>
      <c r="T42" s="44" t="str">
        <f t="shared" si="1"/>
        <v>Nor</v>
      </c>
      <c r="U42" s="13"/>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c r="CW42" s="10"/>
      <c r="CX42" s="10"/>
      <c r="CY42" s="10"/>
      <c r="CZ42" s="10"/>
      <c r="DA42" s="10"/>
      <c r="DB42" s="10"/>
      <c r="DC42" s="10"/>
      <c r="DD42" s="10"/>
      <c r="DE42" s="10"/>
      <c r="DF42" s="10"/>
      <c r="DG42" s="10"/>
      <c r="DH42" s="10"/>
    </row>
    <row r="43" spans="1:112" ht="15.75" customHeight="1" x14ac:dyDescent="0.3">
      <c r="A43" s="13" t="s">
        <v>150</v>
      </c>
      <c r="B43" s="14">
        <v>45444</v>
      </c>
      <c r="C43" s="13" t="s">
        <v>151</v>
      </c>
      <c r="D43" s="13" t="s">
        <v>152</v>
      </c>
      <c r="E43" s="13" t="s">
        <v>32</v>
      </c>
      <c r="F43" s="13" t="s">
        <v>33</v>
      </c>
      <c r="G43" s="13" t="s">
        <v>34</v>
      </c>
      <c r="H43" s="13">
        <v>2</v>
      </c>
      <c r="I43" s="13">
        <v>59.99</v>
      </c>
      <c r="J43" s="13" t="s">
        <v>21</v>
      </c>
      <c r="K43" s="13" t="s">
        <v>51</v>
      </c>
      <c r="L43" s="13" t="s">
        <v>23</v>
      </c>
      <c r="M43" s="14">
        <v>45390</v>
      </c>
      <c r="N43" s="13">
        <v>119.98</v>
      </c>
      <c r="O43" s="10"/>
      <c r="P43" s="13"/>
      <c r="Q43" s="10"/>
      <c r="R43" s="17">
        <f t="shared" ca="1" si="2"/>
        <v>782</v>
      </c>
      <c r="S43" s="43">
        <f t="shared" si="0"/>
        <v>45473</v>
      </c>
      <c r="T43" s="44" t="str">
        <f t="shared" si="1"/>
        <v>Wes</v>
      </c>
      <c r="U43" s="13"/>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c r="CW43" s="10"/>
      <c r="CX43" s="10"/>
      <c r="CY43" s="10"/>
      <c r="CZ43" s="10"/>
      <c r="DA43" s="10"/>
      <c r="DB43" s="10"/>
      <c r="DC43" s="10"/>
      <c r="DD43" s="10"/>
      <c r="DE43" s="10"/>
      <c r="DF43" s="10"/>
      <c r="DG43" s="10"/>
      <c r="DH43" s="10"/>
    </row>
    <row r="44" spans="1:112" ht="15.75" customHeight="1" x14ac:dyDescent="0.3">
      <c r="A44" s="13" t="s">
        <v>153</v>
      </c>
      <c r="B44" s="14">
        <v>45444</v>
      </c>
      <c r="C44" s="13" t="s">
        <v>56</v>
      </c>
      <c r="D44" s="13" t="s">
        <v>57</v>
      </c>
      <c r="E44" s="13" t="s">
        <v>118</v>
      </c>
      <c r="F44" s="13" t="s">
        <v>119</v>
      </c>
      <c r="G44" s="13" t="s">
        <v>20</v>
      </c>
      <c r="H44" s="13">
        <v>1</v>
      </c>
      <c r="I44" s="13">
        <v>89.99</v>
      </c>
      <c r="J44" s="13" t="s">
        <v>21</v>
      </c>
      <c r="K44" s="13" t="s">
        <v>41</v>
      </c>
      <c r="L44" s="13" t="s">
        <v>23</v>
      </c>
      <c r="M44" s="14">
        <v>45141</v>
      </c>
      <c r="N44" s="13">
        <v>89.99</v>
      </c>
      <c r="O44" s="10"/>
      <c r="P44" s="13"/>
      <c r="Q44" s="10"/>
      <c r="R44" s="17">
        <f t="shared" ca="1" si="2"/>
        <v>1031</v>
      </c>
      <c r="S44" s="43">
        <f t="shared" si="0"/>
        <v>45473</v>
      </c>
      <c r="T44" s="44" t="str">
        <f t="shared" si="1"/>
        <v>Nor</v>
      </c>
      <c r="U44" s="13"/>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c r="CW44" s="10"/>
      <c r="CX44" s="10"/>
      <c r="CY44" s="10"/>
      <c r="CZ44" s="10"/>
      <c r="DA44" s="10"/>
      <c r="DB44" s="10"/>
      <c r="DC44" s="10"/>
      <c r="DD44" s="10"/>
      <c r="DE44" s="10"/>
      <c r="DF44" s="10"/>
      <c r="DG44" s="10"/>
      <c r="DH44" s="10"/>
    </row>
    <row r="45" spans="1:112" ht="15.75" customHeight="1" x14ac:dyDescent="0.3">
      <c r="A45" s="13" t="s">
        <v>154</v>
      </c>
      <c r="B45" s="14">
        <v>45446</v>
      </c>
      <c r="C45" s="13" t="s">
        <v>155</v>
      </c>
      <c r="D45" s="13" t="s">
        <v>156</v>
      </c>
      <c r="E45" s="13" t="s">
        <v>118</v>
      </c>
      <c r="F45" s="13" t="s">
        <v>119</v>
      </c>
      <c r="G45" s="13" t="s">
        <v>20</v>
      </c>
      <c r="H45" s="13">
        <v>5</v>
      </c>
      <c r="I45" s="13">
        <v>89.99</v>
      </c>
      <c r="J45" s="13" t="s">
        <v>27</v>
      </c>
      <c r="K45" s="13" t="s">
        <v>64</v>
      </c>
      <c r="L45" s="13" t="s">
        <v>37</v>
      </c>
      <c r="M45" s="14">
        <v>44587</v>
      </c>
      <c r="N45" s="13">
        <v>449.95</v>
      </c>
      <c r="O45" s="10"/>
      <c r="P45" s="13"/>
      <c r="Q45" s="10"/>
      <c r="R45" s="17">
        <f t="shared" ca="1" si="2"/>
        <v>1585</v>
      </c>
      <c r="S45" s="43">
        <f t="shared" si="0"/>
        <v>45473</v>
      </c>
      <c r="T45" s="44" t="str">
        <f t="shared" si="1"/>
        <v>Eas</v>
      </c>
      <c r="U45" s="13"/>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c r="CW45" s="10"/>
      <c r="CX45" s="10"/>
      <c r="CY45" s="10"/>
      <c r="CZ45" s="10"/>
      <c r="DA45" s="10"/>
      <c r="DB45" s="10"/>
      <c r="DC45" s="10"/>
      <c r="DD45" s="10"/>
      <c r="DE45" s="10"/>
      <c r="DF45" s="10"/>
      <c r="DG45" s="10"/>
      <c r="DH45" s="10"/>
    </row>
    <row r="46" spans="1:112" ht="15.75" customHeight="1" x14ac:dyDescent="0.3">
      <c r="A46" s="13" t="s">
        <v>157</v>
      </c>
      <c r="B46" s="14">
        <v>45449</v>
      </c>
      <c r="C46" s="13" t="s">
        <v>25</v>
      </c>
      <c r="D46" s="13" t="s">
        <v>26</v>
      </c>
      <c r="E46" s="13" t="s">
        <v>18</v>
      </c>
      <c r="F46" s="13" t="s">
        <v>19</v>
      </c>
      <c r="G46" s="13" t="s">
        <v>20</v>
      </c>
      <c r="H46" s="13">
        <v>5</v>
      </c>
      <c r="I46" s="13">
        <v>249.99</v>
      </c>
      <c r="J46" s="13" t="s">
        <v>27</v>
      </c>
      <c r="K46" s="13" t="s">
        <v>64</v>
      </c>
      <c r="L46" s="13" t="s">
        <v>37</v>
      </c>
      <c r="M46" s="14">
        <v>44707</v>
      </c>
      <c r="N46" s="13">
        <v>1249.95</v>
      </c>
      <c r="O46" s="10"/>
      <c r="P46" s="13"/>
      <c r="Q46" s="10"/>
      <c r="R46" s="17">
        <f t="shared" ca="1" si="2"/>
        <v>1465</v>
      </c>
      <c r="S46" s="43">
        <f t="shared" si="0"/>
        <v>45473</v>
      </c>
      <c r="T46" s="44" t="str">
        <f t="shared" si="1"/>
        <v>Eas</v>
      </c>
      <c r="U46" s="13"/>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c r="CW46" s="10"/>
      <c r="CX46" s="10"/>
      <c r="CY46" s="10"/>
      <c r="CZ46" s="10"/>
      <c r="DA46" s="10"/>
      <c r="DB46" s="10"/>
      <c r="DC46" s="10"/>
      <c r="DD46" s="10"/>
      <c r="DE46" s="10"/>
      <c r="DF46" s="10"/>
      <c r="DG46" s="10"/>
      <c r="DH46" s="10"/>
    </row>
    <row r="47" spans="1:112" ht="15.75" customHeight="1" x14ac:dyDescent="0.3">
      <c r="A47" s="13" t="s">
        <v>158</v>
      </c>
      <c r="B47" s="14">
        <v>45449</v>
      </c>
      <c r="C47" s="13" t="s">
        <v>159</v>
      </c>
      <c r="D47" s="13" t="s">
        <v>160</v>
      </c>
      <c r="E47" s="13" t="s">
        <v>118</v>
      </c>
      <c r="F47" s="13" t="s">
        <v>119</v>
      </c>
      <c r="G47" s="13" t="s">
        <v>20</v>
      </c>
      <c r="H47" s="13">
        <v>1</v>
      </c>
      <c r="I47" s="13">
        <v>89.99</v>
      </c>
      <c r="J47" s="13" t="s">
        <v>27</v>
      </c>
      <c r="K47" s="13" t="s">
        <v>36</v>
      </c>
      <c r="L47" s="13" t="s">
        <v>37</v>
      </c>
      <c r="M47" s="14">
        <v>44582</v>
      </c>
      <c r="N47" s="13">
        <v>89.99</v>
      </c>
      <c r="O47" s="10"/>
      <c r="P47" s="13"/>
      <c r="Q47" s="10"/>
      <c r="R47" s="17">
        <f t="shared" ca="1" si="2"/>
        <v>1590</v>
      </c>
      <c r="S47" s="43">
        <f t="shared" si="0"/>
        <v>45473</v>
      </c>
      <c r="T47" s="44" t="str">
        <f t="shared" si="1"/>
        <v>Sou</v>
      </c>
      <c r="U47" s="13"/>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c r="CW47" s="10"/>
      <c r="CX47" s="10"/>
      <c r="CY47" s="10"/>
      <c r="CZ47" s="10"/>
      <c r="DA47" s="10"/>
      <c r="DB47" s="10"/>
      <c r="DC47" s="10"/>
      <c r="DD47" s="10"/>
      <c r="DE47" s="10"/>
      <c r="DF47" s="10"/>
      <c r="DG47" s="10"/>
      <c r="DH47" s="10"/>
    </row>
    <row r="48" spans="1:112" ht="15.75" customHeight="1" x14ac:dyDescent="0.3">
      <c r="A48" s="13" t="s">
        <v>161</v>
      </c>
      <c r="B48" s="14">
        <v>45450</v>
      </c>
      <c r="C48" s="13" t="s">
        <v>43</v>
      </c>
      <c r="D48" s="13" t="s">
        <v>44</v>
      </c>
      <c r="E48" s="13" t="s">
        <v>45</v>
      </c>
      <c r="F48" s="13" t="s">
        <v>46</v>
      </c>
      <c r="G48" s="13" t="s">
        <v>47</v>
      </c>
      <c r="H48" s="13">
        <v>2</v>
      </c>
      <c r="I48" s="13">
        <v>149.99</v>
      </c>
      <c r="J48" s="13" t="s">
        <v>21</v>
      </c>
      <c r="K48" s="13" t="s">
        <v>64</v>
      </c>
      <c r="L48" s="13" t="s">
        <v>28</v>
      </c>
      <c r="M48" s="14">
        <v>44645</v>
      </c>
      <c r="N48" s="13">
        <v>299.98</v>
      </c>
      <c r="O48" s="10"/>
      <c r="P48" s="13"/>
      <c r="Q48" s="10"/>
      <c r="R48" s="17">
        <f t="shared" ca="1" si="2"/>
        <v>1527</v>
      </c>
      <c r="S48" s="43">
        <f t="shared" si="0"/>
        <v>45473</v>
      </c>
      <c r="T48" s="44" t="str">
        <f t="shared" si="1"/>
        <v>Eas</v>
      </c>
      <c r="U48" s="13"/>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c r="CW48" s="10"/>
      <c r="CX48" s="10"/>
      <c r="CY48" s="10"/>
      <c r="CZ48" s="10"/>
      <c r="DA48" s="10"/>
      <c r="DB48" s="10"/>
      <c r="DC48" s="10"/>
      <c r="DD48" s="10"/>
      <c r="DE48" s="10"/>
      <c r="DF48" s="10"/>
      <c r="DG48" s="10"/>
      <c r="DH48" s="10"/>
    </row>
    <row r="49" spans="1:112" ht="15.75" customHeight="1" x14ac:dyDescent="0.3">
      <c r="A49" s="13" t="s">
        <v>162</v>
      </c>
      <c r="B49" s="14">
        <v>45452</v>
      </c>
      <c r="C49" s="13" t="s">
        <v>163</v>
      </c>
      <c r="D49" s="13" t="s">
        <v>164</v>
      </c>
      <c r="E49" s="13" t="s">
        <v>32</v>
      </c>
      <c r="F49" s="13" t="s">
        <v>33</v>
      </c>
      <c r="G49" s="13" t="s">
        <v>34</v>
      </c>
      <c r="H49" s="13">
        <v>4</v>
      </c>
      <c r="I49" s="13">
        <v>59.99</v>
      </c>
      <c r="J49" s="13" t="s">
        <v>21</v>
      </c>
      <c r="K49" s="13" t="s">
        <v>64</v>
      </c>
      <c r="L49" s="13" t="s">
        <v>37</v>
      </c>
      <c r="M49" s="14">
        <v>44435</v>
      </c>
      <c r="N49" s="13">
        <v>239.96</v>
      </c>
      <c r="O49" s="10"/>
      <c r="P49" s="13"/>
      <c r="Q49" s="10"/>
      <c r="R49" s="17">
        <f t="shared" ca="1" si="2"/>
        <v>1737</v>
      </c>
      <c r="S49" s="43">
        <f t="shared" si="0"/>
        <v>45473</v>
      </c>
      <c r="T49" s="44" t="str">
        <f t="shared" si="1"/>
        <v>Eas</v>
      </c>
      <c r="U49" s="13"/>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c r="CW49" s="10"/>
      <c r="CX49" s="10"/>
      <c r="CY49" s="10"/>
      <c r="CZ49" s="10"/>
      <c r="DA49" s="10"/>
      <c r="DB49" s="10"/>
      <c r="DC49" s="10"/>
      <c r="DD49" s="10"/>
      <c r="DE49" s="10"/>
      <c r="DF49" s="10"/>
      <c r="DG49" s="10"/>
      <c r="DH49" s="10"/>
    </row>
    <row r="50" spans="1:112" ht="15.75" customHeight="1" x14ac:dyDescent="0.3">
      <c r="A50" s="13" t="s">
        <v>165</v>
      </c>
      <c r="B50" s="14">
        <v>45456</v>
      </c>
      <c r="C50" s="13" t="s">
        <v>130</v>
      </c>
      <c r="D50" s="13" t="s">
        <v>131</v>
      </c>
      <c r="E50" s="13" t="s">
        <v>118</v>
      </c>
      <c r="F50" s="13" t="s">
        <v>119</v>
      </c>
      <c r="G50" s="13" t="s">
        <v>20</v>
      </c>
      <c r="H50" s="13">
        <v>5</v>
      </c>
      <c r="I50" s="13">
        <v>89.99</v>
      </c>
      <c r="J50" s="13" t="s">
        <v>21</v>
      </c>
      <c r="K50" s="13" t="s">
        <v>22</v>
      </c>
      <c r="L50" s="13" t="s">
        <v>28</v>
      </c>
      <c r="M50" s="14">
        <v>44579</v>
      </c>
      <c r="N50" s="13">
        <v>449.95</v>
      </c>
      <c r="O50" s="10"/>
      <c r="P50" s="13"/>
      <c r="Q50" s="10"/>
      <c r="R50" s="17">
        <f t="shared" ca="1" si="2"/>
        <v>1593</v>
      </c>
      <c r="S50" s="43">
        <f t="shared" si="0"/>
        <v>45473</v>
      </c>
      <c r="T50" s="44" t="str">
        <f t="shared" si="1"/>
        <v>Cen</v>
      </c>
      <c r="U50" s="13"/>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c r="CW50" s="10"/>
      <c r="CX50" s="10"/>
      <c r="CY50" s="10"/>
      <c r="CZ50" s="10"/>
      <c r="DA50" s="10"/>
      <c r="DB50" s="10"/>
      <c r="DC50" s="10"/>
      <c r="DD50" s="10"/>
      <c r="DE50" s="10"/>
      <c r="DF50" s="10"/>
      <c r="DG50" s="10"/>
      <c r="DH50" s="10"/>
    </row>
    <row r="51" spans="1:112" ht="15.75" customHeight="1" x14ac:dyDescent="0.3">
      <c r="A51" s="13" t="s">
        <v>166</v>
      </c>
      <c r="B51" s="14">
        <v>45459</v>
      </c>
      <c r="C51" s="13" t="s">
        <v>100</v>
      </c>
      <c r="D51" s="13" t="s">
        <v>101</v>
      </c>
      <c r="E51" s="13" t="s">
        <v>118</v>
      </c>
      <c r="F51" s="13" t="s">
        <v>119</v>
      </c>
      <c r="G51" s="13" t="s">
        <v>20</v>
      </c>
      <c r="H51" s="13">
        <v>2</v>
      </c>
      <c r="I51" s="13">
        <v>89.99</v>
      </c>
      <c r="J51" s="13" t="s">
        <v>27</v>
      </c>
      <c r="K51" s="13" t="s">
        <v>36</v>
      </c>
      <c r="L51" s="13" t="s">
        <v>28</v>
      </c>
      <c r="M51" s="14">
        <v>44471</v>
      </c>
      <c r="N51" s="13">
        <v>179.98</v>
      </c>
      <c r="O51" s="10"/>
      <c r="P51" s="13"/>
      <c r="Q51" s="10"/>
      <c r="R51" s="17">
        <f t="shared" ca="1" si="2"/>
        <v>1701</v>
      </c>
      <c r="S51" s="43">
        <f t="shared" si="0"/>
        <v>45473</v>
      </c>
      <c r="T51" s="44" t="str">
        <f t="shared" si="1"/>
        <v>Sou</v>
      </c>
      <c r="U51" s="13"/>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c r="CW51" s="10"/>
      <c r="CX51" s="10"/>
      <c r="CY51" s="10"/>
      <c r="CZ51" s="10"/>
      <c r="DA51" s="10"/>
      <c r="DB51" s="10"/>
      <c r="DC51" s="10"/>
      <c r="DD51" s="10"/>
      <c r="DE51" s="10"/>
      <c r="DF51" s="10"/>
      <c r="DG51" s="10"/>
      <c r="DH51" s="10"/>
    </row>
    <row r="52" spans="1:112" ht="15.75" customHeight="1" x14ac:dyDescent="0.3">
      <c r="A52" s="13" t="s">
        <v>167</v>
      </c>
      <c r="B52" s="14">
        <v>45459</v>
      </c>
      <c r="C52" s="13" t="s">
        <v>16</v>
      </c>
      <c r="D52" s="13" t="s">
        <v>17</v>
      </c>
      <c r="E52" s="13" t="s">
        <v>62</v>
      </c>
      <c r="F52" s="13" t="s">
        <v>63</v>
      </c>
      <c r="G52" s="13" t="s">
        <v>20</v>
      </c>
      <c r="H52" s="13">
        <v>5</v>
      </c>
      <c r="I52" s="13">
        <v>899.99</v>
      </c>
      <c r="J52" s="13" t="s">
        <v>27</v>
      </c>
      <c r="K52" s="13" t="s">
        <v>36</v>
      </c>
      <c r="L52" s="13" t="s">
        <v>37</v>
      </c>
      <c r="M52" s="14">
        <v>44974</v>
      </c>
      <c r="N52" s="13">
        <v>4499.95</v>
      </c>
      <c r="O52" s="10"/>
      <c r="P52" s="13"/>
      <c r="Q52" s="10"/>
      <c r="R52" s="17">
        <f t="shared" ca="1" si="2"/>
        <v>1198</v>
      </c>
      <c r="S52" s="43">
        <f t="shared" si="0"/>
        <v>45473</v>
      </c>
      <c r="T52" s="44" t="str">
        <f t="shared" si="1"/>
        <v>Sou</v>
      </c>
      <c r="U52" s="13"/>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c r="CW52" s="10"/>
      <c r="CX52" s="10"/>
      <c r="CY52" s="10"/>
      <c r="CZ52" s="10"/>
      <c r="DA52" s="10"/>
      <c r="DB52" s="10"/>
      <c r="DC52" s="10"/>
      <c r="DD52" s="10"/>
      <c r="DE52" s="10"/>
      <c r="DF52" s="10"/>
      <c r="DG52" s="10"/>
      <c r="DH52" s="10"/>
    </row>
    <row r="53" spans="1:112" ht="15.75" customHeight="1" x14ac:dyDescent="0.3">
      <c r="A53" s="13" t="s">
        <v>168</v>
      </c>
      <c r="B53" s="14">
        <v>45459</v>
      </c>
      <c r="C53" s="13" t="s">
        <v>124</v>
      </c>
      <c r="D53" s="13" t="s">
        <v>125</v>
      </c>
      <c r="E53" s="13" t="s">
        <v>62</v>
      </c>
      <c r="F53" s="13" t="s">
        <v>63</v>
      </c>
      <c r="G53" s="13" t="s">
        <v>20</v>
      </c>
      <c r="H53" s="13">
        <v>5</v>
      </c>
      <c r="I53" s="13">
        <v>899.99</v>
      </c>
      <c r="J53" s="13" t="s">
        <v>35</v>
      </c>
      <c r="K53" s="13" t="s">
        <v>64</v>
      </c>
      <c r="L53" s="13" t="s">
        <v>28</v>
      </c>
      <c r="M53" s="14">
        <v>45278</v>
      </c>
      <c r="N53" s="13">
        <v>4499.95</v>
      </c>
      <c r="O53" s="10"/>
      <c r="P53" s="13"/>
      <c r="Q53" s="10"/>
      <c r="R53" s="17">
        <f t="shared" ca="1" si="2"/>
        <v>894</v>
      </c>
      <c r="S53" s="43">
        <f t="shared" si="0"/>
        <v>45473</v>
      </c>
      <c r="T53" s="44" t="str">
        <f t="shared" si="1"/>
        <v>Eas</v>
      </c>
      <c r="U53" s="13"/>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c r="CW53" s="10"/>
      <c r="CX53" s="10"/>
      <c r="CY53" s="10"/>
      <c r="CZ53" s="10"/>
      <c r="DA53" s="10"/>
      <c r="DB53" s="10"/>
      <c r="DC53" s="10"/>
      <c r="DD53" s="10"/>
      <c r="DE53" s="10"/>
      <c r="DF53" s="10"/>
      <c r="DG53" s="10"/>
      <c r="DH53" s="10"/>
    </row>
    <row r="54" spans="1:112" ht="15.75" customHeight="1" x14ac:dyDescent="0.3">
      <c r="A54" s="13" t="s">
        <v>169</v>
      </c>
      <c r="B54" s="14">
        <v>45460</v>
      </c>
      <c r="C54" s="13" t="s">
        <v>159</v>
      </c>
      <c r="D54" s="13" t="s">
        <v>160</v>
      </c>
      <c r="E54" s="13" t="s">
        <v>32</v>
      </c>
      <c r="F54" s="13" t="s">
        <v>33</v>
      </c>
      <c r="G54" s="13" t="s">
        <v>34</v>
      </c>
      <c r="H54" s="13">
        <v>1</v>
      </c>
      <c r="I54" s="13">
        <v>59.99</v>
      </c>
      <c r="J54" s="13" t="s">
        <v>58</v>
      </c>
      <c r="K54" s="13" t="s">
        <v>51</v>
      </c>
      <c r="L54" s="13" t="s">
        <v>28</v>
      </c>
      <c r="M54" s="14">
        <v>45190</v>
      </c>
      <c r="N54" s="13">
        <v>59.99</v>
      </c>
      <c r="O54" s="10"/>
      <c r="P54" s="13"/>
      <c r="Q54" s="10"/>
      <c r="R54" s="17">
        <f t="shared" ca="1" si="2"/>
        <v>982</v>
      </c>
      <c r="S54" s="43">
        <f t="shared" si="0"/>
        <v>45473</v>
      </c>
      <c r="T54" s="44" t="str">
        <f t="shared" si="1"/>
        <v>Wes</v>
      </c>
      <c r="U54" s="13"/>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c r="CW54" s="10"/>
      <c r="CX54" s="10"/>
      <c r="CY54" s="10"/>
      <c r="CZ54" s="10"/>
      <c r="DA54" s="10"/>
      <c r="DB54" s="10"/>
      <c r="DC54" s="10"/>
      <c r="DD54" s="10"/>
      <c r="DE54" s="10"/>
      <c r="DF54" s="10"/>
      <c r="DG54" s="10"/>
      <c r="DH54" s="10"/>
    </row>
    <row r="55" spans="1:112" ht="15.75" customHeight="1" x14ac:dyDescent="0.3">
      <c r="A55" s="13" t="s">
        <v>170</v>
      </c>
      <c r="B55" s="14">
        <v>45460</v>
      </c>
      <c r="C55" s="13" t="s">
        <v>142</v>
      </c>
      <c r="D55" s="13" t="s">
        <v>143</v>
      </c>
      <c r="E55" s="13" t="s">
        <v>106</v>
      </c>
      <c r="F55" s="13" t="s">
        <v>107</v>
      </c>
      <c r="G55" s="13" t="s">
        <v>47</v>
      </c>
      <c r="H55" s="13">
        <v>2</v>
      </c>
      <c r="I55" s="13">
        <v>299.99</v>
      </c>
      <c r="J55" s="13" t="s">
        <v>58</v>
      </c>
      <c r="K55" s="13" t="s">
        <v>64</v>
      </c>
      <c r="L55" s="13" t="s">
        <v>37</v>
      </c>
      <c r="M55" s="14">
        <v>45253</v>
      </c>
      <c r="N55" s="13">
        <v>599.98</v>
      </c>
      <c r="O55" s="10"/>
      <c r="P55" s="13"/>
      <c r="Q55" s="10"/>
      <c r="R55" s="17">
        <f t="shared" ca="1" si="2"/>
        <v>919</v>
      </c>
      <c r="S55" s="43">
        <f t="shared" si="0"/>
        <v>45473</v>
      </c>
      <c r="T55" s="44" t="str">
        <f t="shared" si="1"/>
        <v>Eas</v>
      </c>
      <c r="U55" s="13"/>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c r="CW55" s="10"/>
      <c r="CX55" s="10"/>
      <c r="CY55" s="10"/>
      <c r="CZ55" s="10"/>
      <c r="DA55" s="10"/>
      <c r="DB55" s="10"/>
      <c r="DC55" s="10"/>
      <c r="DD55" s="10"/>
      <c r="DE55" s="10"/>
      <c r="DF55" s="10"/>
      <c r="DG55" s="10"/>
      <c r="DH55" s="10"/>
    </row>
    <row r="56" spans="1:112" ht="15.75" customHeight="1" x14ac:dyDescent="0.3">
      <c r="A56" s="13" t="s">
        <v>171</v>
      </c>
      <c r="B56" s="14">
        <v>45468</v>
      </c>
      <c r="C56" s="13" t="s">
        <v>172</v>
      </c>
      <c r="D56" s="13" t="s">
        <v>173</v>
      </c>
      <c r="E56" s="13" t="s">
        <v>118</v>
      </c>
      <c r="F56" s="13" t="s">
        <v>119</v>
      </c>
      <c r="G56" s="13" t="s">
        <v>20</v>
      </c>
      <c r="H56" s="13">
        <v>4</v>
      </c>
      <c r="I56" s="13">
        <v>89.99</v>
      </c>
      <c r="J56" s="13" t="s">
        <v>58</v>
      </c>
      <c r="K56" s="13" t="s">
        <v>36</v>
      </c>
      <c r="L56" s="13" t="s">
        <v>23</v>
      </c>
      <c r="M56" s="14">
        <v>45281</v>
      </c>
      <c r="N56" s="13">
        <v>359.96</v>
      </c>
      <c r="O56" s="10"/>
      <c r="P56" s="13"/>
      <c r="Q56" s="10"/>
      <c r="R56" s="17">
        <f t="shared" ca="1" si="2"/>
        <v>891</v>
      </c>
      <c r="S56" s="43">
        <f t="shared" si="0"/>
        <v>45473</v>
      </c>
      <c r="T56" s="44" t="str">
        <f t="shared" si="1"/>
        <v>Sou</v>
      </c>
      <c r="U56" s="13"/>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c r="CI56" s="10"/>
      <c r="CJ56" s="10"/>
      <c r="CK56" s="10"/>
      <c r="CL56" s="10"/>
      <c r="CM56" s="10"/>
      <c r="CN56" s="10"/>
      <c r="CO56" s="10"/>
      <c r="CP56" s="10"/>
      <c r="CQ56" s="10"/>
      <c r="CR56" s="10"/>
      <c r="CS56" s="10"/>
      <c r="CT56" s="10"/>
      <c r="CU56" s="10"/>
      <c r="CV56" s="10"/>
      <c r="CW56" s="10"/>
      <c r="CX56" s="10"/>
      <c r="CY56" s="10"/>
      <c r="CZ56" s="10"/>
      <c r="DA56" s="10"/>
      <c r="DB56" s="10"/>
      <c r="DC56" s="10"/>
      <c r="DD56" s="10"/>
      <c r="DE56" s="10"/>
      <c r="DF56" s="10"/>
      <c r="DG56" s="10"/>
      <c r="DH56" s="10"/>
    </row>
    <row r="57" spans="1:112" ht="15.75" customHeight="1" x14ac:dyDescent="0.3">
      <c r="A57" s="13" t="s">
        <v>174</v>
      </c>
      <c r="B57" s="14">
        <v>45469</v>
      </c>
      <c r="C57" s="13" t="s">
        <v>30</v>
      </c>
      <c r="D57" s="13" t="s">
        <v>31</v>
      </c>
      <c r="E57" s="13" t="s">
        <v>115</v>
      </c>
      <c r="F57" s="13" t="s">
        <v>116</v>
      </c>
      <c r="G57" s="13" t="s">
        <v>34</v>
      </c>
      <c r="H57" s="13">
        <v>1</v>
      </c>
      <c r="I57" s="13">
        <v>79.989999999999995</v>
      </c>
      <c r="J57" s="13" t="s">
        <v>35</v>
      </c>
      <c r="K57" s="13" t="s">
        <v>22</v>
      </c>
      <c r="L57" s="13" t="s">
        <v>28</v>
      </c>
      <c r="M57" s="14">
        <v>45352</v>
      </c>
      <c r="N57" s="13">
        <v>79.989999999999995</v>
      </c>
      <c r="O57" s="10"/>
      <c r="P57" s="13"/>
      <c r="Q57" s="10"/>
      <c r="R57" s="17">
        <f t="shared" ca="1" si="2"/>
        <v>820</v>
      </c>
      <c r="S57" s="43">
        <f t="shared" si="0"/>
        <v>45473</v>
      </c>
      <c r="T57" s="44" t="str">
        <f t="shared" si="1"/>
        <v>Cen</v>
      </c>
      <c r="U57" s="13"/>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0"/>
      <c r="BU57" s="10"/>
      <c r="BV57" s="10"/>
      <c r="BW57" s="10"/>
      <c r="BX57" s="10"/>
      <c r="BY57" s="10"/>
      <c r="BZ57" s="10"/>
      <c r="CA57" s="10"/>
      <c r="CB57" s="10"/>
      <c r="CC57" s="10"/>
      <c r="CD57" s="10"/>
      <c r="CE57" s="10"/>
      <c r="CF57" s="10"/>
      <c r="CG57" s="10"/>
      <c r="CH57" s="10"/>
      <c r="CI57" s="10"/>
      <c r="CJ57" s="10"/>
      <c r="CK57" s="10"/>
      <c r="CL57" s="10"/>
      <c r="CM57" s="10"/>
      <c r="CN57" s="10"/>
      <c r="CO57" s="10"/>
      <c r="CP57" s="10"/>
      <c r="CQ57" s="10"/>
      <c r="CR57" s="10"/>
      <c r="CS57" s="10"/>
      <c r="CT57" s="10"/>
      <c r="CU57" s="10"/>
      <c r="CV57" s="10"/>
      <c r="CW57" s="10"/>
      <c r="CX57" s="10"/>
      <c r="CY57" s="10"/>
      <c r="CZ57" s="10"/>
      <c r="DA57" s="10"/>
      <c r="DB57" s="10"/>
      <c r="DC57" s="10"/>
      <c r="DD57" s="10"/>
      <c r="DE57" s="10"/>
      <c r="DF57" s="10"/>
      <c r="DG57" s="10"/>
      <c r="DH57" s="10"/>
    </row>
    <row r="58" spans="1:112" ht="15.75" customHeight="1" x14ac:dyDescent="0.3">
      <c r="A58" s="13" t="s">
        <v>175</v>
      </c>
      <c r="B58" s="14">
        <v>45469</v>
      </c>
      <c r="C58" s="13" t="s">
        <v>60</v>
      </c>
      <c r="D58" s="13" t="s">
        <v>61</v>
      </c>
      <c r="E58" s="13" t="s">
        <v>118</v>
      </c>
      <c r="F58" s="13" t="s">
        <v>119</v>
      </c>
      <c r="G58" s="13" t="s">
        <v>20</v>
      </c>
      <c r="H58" s="13">
        <v>2</v>
      </c>
      <c r="I58" s="13">
        <v>89.99</v>
      </c>
      <c r="J58" s="13" t="s">
        <v>21</v>
      </c>
      <c r="K58" s="13" t="s">
        <v>51</v>
      </c>
      <c r="L58" s="13" t="s">
        <v>23</v>
      </c>
      <c r="M58" s="14">
        <v>44438</v>
      </c>
      <c r="N58" s="13">
        <v>179.98</v>
      </c>
      <c r="O58" s="10"/>
      <c r="P58" s="13"/>
      <c r="Q58" s="10"/>
      <c r="R58" s="17">
        <f t="shared" ca="1" si="2"/>
        <v>1734</v>
      </c>
      <c r="S58" s="43">
        <f t="shared" si="0"/>
        <v>45473</v>
      </c>
      <c r="T58" s="44" t="str">
        <f t="shared" si="1"/>
        <v>Wes</v>
      </c>
      <c r="U58" s="13"/>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c r="CI58" s="10"/>
      <c r="CJ58" s="10"/>
      <c r="CK58" s="10"/>
      <c r="CL58" s="10"/>
      <c r="CM58" s="10"/>
      <c r="CN58" s="10"/>
      <c r="CO58" s="10"/>
      <c r="CP58" s="10"/>
      <c r="CQ58" s="10"/>
      <c r="CR58" s="10"/>
      <c r="CS58" s="10"/>
      <c r="CT58" s="10"/>
      <c r="CU58" s="10"/>
      <c r="CV58" s="10"/>
      <c r="CW58" s="10"/>
      <c r="CX58" s="10"/>
      <c r="CY58" s="10"/>
      <c r="CZ58" s="10"/>
      <c r="DA58" s="10"/>
      <c r="DB58" s="10"/>
      <c r="DC58" s="10"/>
      <c r="DD58" s="10"/>
      <c r="DE58" s="10"/>
      <c r="DF58" s="10"/>
      <c r="DG58" s="10"/>
      <c r="DH58" s="10"/>
    </row>
    <row r="59" spans="1:112" ht="15.75" customHeight="1" x14ac:dyDescent="0.3">
      <c r="A59" s="13" t="s">
        <v>176</v>
      </c>
      <c r="B59" s="14">
        <v>45471</v>
      </c>
      <c r="C59" s="13" t="s">
        <v>39</v>
      </c>
      <c r="D59" s="13" t="s">
        <v>40</v>
      </c>
      <c r="E59" s="13" t="s">
        <v>81</v>
      </c>
      <c r="F59" s="13" t="s">
        <v>82</v>
      </c>
      <c r="G59" s="13" t="s">
        <v>20</v>
      </c>
      <c r="H59" s="13">
        <v>3</v>
      </c>
      <c r="I59" s="13">
        <v>699.99</v>
      </c>
      <c r="J59" s="13" t="s">
        <v>27</v>
      </c>
      <c r="K59" s="13" t="s">
        <v>64</v>
      </c>
      <c r="L59" s="13" t="s">
        <v>28</v>
      </c>
      <c r="M59" s="14">
        <v>45102</v>
      </c>
      <c r="N59" s="13">
        <v>2099.9699999999998</v>
      </c>
      <c r="O59" s="10"/>
      <c r="P59" s="13"/>
      <c r="Q59" s="10"/>
      <c r="R59" s="17">
        <f t="shared" ca="1" si="2"/>
        <v>1070</v>
      </c>
      <c r="S59" s="43">
        <f t="shared" si="0"/>
        <v>45473</v>
      </c>
      <c r="T59" s="44" t="str">
        <f t="shared" si="1"/>
        <v>Eas</v>
      </c>
      <c r="U59" s="13"/>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0"/>
      <c r="BU59" s="10"/>
      <c r="BV59" s="10"/>
      <c r="BW59" s="10"/>
      <c r="BX59" s="10"/>
      <c r="BY59" s="10"/>
      <c r="BZ59" s="10"/>
      <c r="CA59" s="10"/>
      <c r="CB59" s="10"/>
      <c r="CC59" s="10"/>
      <c r="CD59" s="10"/>
      <c r="CE59" s="10"/>
      <c r="CF59" s="10"/>
      <c r="CG59" s="10"/>
      <c r="CH59" s="10"/>
      <c r="CI59" s="10"/>
      <c r="CJ59" s="10"/>
      <c r="CK59" s="10"/>
      <c r="CL59" s="10"/>
      <c r="CM59" s="10"/>
      <c r="CN59" s="10"/>
      <c r="CO59" s="10"/>
      <c r="CP59" s="10"/>
      <c r="CQ59" s="10"/>
      <c r="CR59" s="10"/>
      <c r="CS59" s="10"/>
      <c r="CT59" s="10"/>
      <c r="CU59" s="10"/>
      <c r="CV59" s="10"/>
      <c r="CW59" s="10"/>
      <c r="CX59" s="10"/>
      <c r="CY59" s="10"/>
      <c r="CZ59" s="10"/>
      <c r="DA59" s="10"/>
      <c r="DB59" s="10"/>
      <c r="DC59" s="10"/>
      <c r="DD59" s="10"/>
      <c r="DE59" s="10"/>
      <c r="DF59" s="10"/>
      <c r="DG59" s="10"/>
      <c r="DH59" s="10"/>
    </row>
    <row r="60" spans="1:112" ht="15.75" customHeight="1" x14ac:dyDescent="0.3">
      <c r="A60" s="13" t="s">
        <v>177</v>
      </c>
      <c r="B60" s="14">
        <v>45471</v>
      </c>
      <c r="C60" s="13" t="s">
        <v>100</v>
      </c>
      <c r="D60" s="13" t="s">
        <v>101</v>
      </c>
      <c r="E60" s="13" t="s">
        <v>62</v>
      </c>
      <c r="F60" s="13" t="s">
        <v>63</v>
      </c>
      <c r="G60" s="13" t="s">
        <v>20</v>
      </c>
      <c r="H60" s="13">
        <v>4</v>
      </c>
      <c r="I60" s="13">
        <v>899.99</v>
      </c>
      <c r="J60" s="13" t="s">
        <v>27</v>
      </c>
      <c r="K60" s="13" t="s">
        <v>64</v>
      </c>
      <c r="L60" s="13" t="s">
        <v>28</v>
      </c>
      <c r="M60" s="14">
        <v>44993</v>
      </c>
      <c r="N60" s="13">
        <v>3599.96</v>
      </c>
      <c r="O60" s="10"/>
      <c r="P60" s="13"/>
      <c r="Q60" s="10"/>
      <c r="R60" s="17">
        <f t="shared" ca="1" si="2"/>
        <v>1179</v>
      </c>
      <c r="S60" s="43">
        <f t="shared" si="0"/>
        <v>45473</v>
      </c>
      <c r="T60" s="44" t="str">
        <f t="shared" si="1"/>
        <v>Eas</v>
      </c>
      <c r="U60" s="13"/>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c r="CF60" s="10"/>
      <c r="CG60" s="10"/>
      <c r="CH60" s="10"/>
      <c r="CI60" s="10"/>
      <c r="CJ60" s="10"/>
      <c r="CK60" s="10"/>
      <c r="CL60" s="10"/>
      <c r="CM60" s="10"/>
      <c r="CN60" s="10"/>
      <c r="CO60" s="10"/>
      <c r="CP60" s="10"/>
      <c r="CQ60" s="10"/>
      <c r="CR60" s="10"/>
      <c r="CS60" s="10"/>
      <c r="CT60" s="10"/>
      <c r="CU60" s="10"/>
      <c r="CV60" s="10"/>
      <c r="CW60" s="10"/>
      <c r="CX60" s="10"/>
      <c r="CY60" s="10"/>
      <c r="CZ60" s="10"/>
      <c r="DA60" s="10"/>
      <c r="DB60" s="10"/>
      <c r="DC60" s="10"/>
      <c r="DD60" s="10"/>
      <c r="DE60" s="10"/>
      <c r="DF60" s="10"/>
      <c r="DG60" s="10"/>
      <c r="DH60" s="10"/>
    </row>
    <row r="61" spans="1:112" ht="15.75" customHeight="1" x14ac:dyDescent="0.3">
      <c r="A61" s="13" t="s">
        <v>178</v>
      </c>
      <c r="B61" s="14">
        <v>45472</v>
      </c>
      <c r="C61" s="13" t="s">
        <v>121</v>
      </c>
      <c r="D61" s="13" t="s">
        <v>122</v>
      </c>
      <c r="E61" s="13" t="s">
        <v>45</v>
      </c>
      <c r="F61" s="13" t="s">
        <v>46</v>
      </c>
      <c r="G61" s="13" t="s">
        <v>47</v>
      </c>
      <c r="H61" s="13">
        <v>1</v>
      </c>
      <c r="I61" s="13">
        <v>149.99</v>
      </c>
      <c r="J61" s="13" t="s">
        <v>35</v>
      </c>
      <c r="K61" s="13" t="s">
        <v>64</v>
      </c>
      <c r="L61" s="13" t="s">
        <v>23</v>
      </c>
      <c r="M61" s="14">
        <v>44851</v>
      </c>
      <c r="N61" s="13">
        <v>149.99</v>
      </c>
      <c r="O61" s="10"/>
      <c r="P61" s="13"/>
      <c r="Q61" s="10"/>
      <c r="R61" s="17">
        <f t="shared" ca="1" si="2"/>
        <v>1321</v>
      </c>
      <c r="S61" s="43">
        <f t="shared" si="0"/>
        <v>45473</v>
      </c>
      <c r="T61" s="44" t="str">
        <f t="shared" si="1"/>
        <v>Eas</v>
      </c>
      <c r="U61" s="13"/>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c r="BQ61" s="10"/>
      <c r="BR61" s="10"/>
      <c r="BS61" s="10"/>
      <c r="BT61" s="10"/>
      <c r="BU61" s="10"/>
      <c r="BV61" s="10"/>
      <c r="BW61" s="10"/>
      <c r="BX61" s="10"/>
      <c r="BY61" s="10"/>
      <c r="BZ61" s="10"/>
      <c r="CA61" s="10"/>
      <c r="CB61" s="10"/>
      <c r="CC61" s="10"/>
      <c r="CD61" s="10"/>
      <c r="CE61" s="10"/>
      <c r="CF61" s="10"/>
      <c r="CG61" s="10"/>
      <c r="CH61" s="10"/>
      <c r="CI61" s="10"/>
      <c r="CJ61" s="10"/>
      <c r="CK61" s="10"/>
      <c r="CL61" s="10"/>
      <c r="CM61" s="10"/>
      <c r="CN61" s="10"/>
      <c r="CO61" s="10"/>
      <c r="CP61" s="10"/>
      <c r="CQ61" s="10"/>
      <c r="CR61" s="10"/>
      <c r="CS61" s="10"/>
      <c r="CT61" s="10"/>
      <c r="CU61" s="10"/>
      <c r="CV61" s="10"/>
      <c r="CW61" s="10"/>
      <c r="CX61" s="10"/>
      <c r="CY61" s="10"/>
      <c r="CZ61" s="10"/>
      <c r="DA61" s="10"/>
      <c r="DB61" s="10"/>
      <c r="DC61" s="10"/>
      <c r="DD61" s="10"/>
      <c r="DE61" s="10"/>
      <c r="DF61" s="10"/>
      <c r="DG61" s="10"/>
      <c r="DH61" s="10"/>
    </row>
    <row r="62" spans="1:112" ht="15.75" customHeight="1" x14ac:dyDescent="0.3">
      <c r="A62" s="13" t="s">
        <v>179</v>
      </c>
      <c r="B62" s="14">
        <v>45474</v>
      </c>
      <c r="C62" s="13" t="s">
        <v>133</v>
      </c>
      <c r="D62" s="13" t="s">
        <v>134</v>
      </c>
      <c r="E62" s="13" t="s">
        <v>118</v>
      </c>
      <c r="F62" s="13" t="s">
        <v>119</v>
      </c>
      <c r="G62" s="13" t="s">
        <v>20</v>
      </c>
      <c r="H62" s="13">
        <v>2</v>
      </c>
      <c r="I62" s="13">
        <v>89.99</v>
      </c>
      <c r="J62" s="13" t="s">
        <v>35</v>
      </c>
      <c r="K62" s="13" t="s">
        <v>22</v>
      </c>
      <c r="L62" s="13" t="s">
        <v>28</v>
      </c>
      <c r="M62" s="14">
        <v>45275</v>
      </c>
      <c r="N62" s="13">
        <v>179.98</v>
      </c>
      <c r="O62" s="10"/>
      <c r="P62" s="13"/>
      <c r="Q62" s="10"/>
      <c r="R62" s="17">
        <f t="shared" ca="1" si="2"/>
        <v>897</v>
      </c>
      <c r="S62" s="43">
        <f t="shared" si="0"/>
        <v>45504</v>
      </c>
      <c r="T62" s="44" t="str">
        <f t="shared" si="1"/>
        <v>Cen</v>
      </c>
      <c r="U62" s="13"/>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c r="CF62" s="10"/>
      <c r="CG62" s="10"/>
      <c r="CH62" s="10"/>
      <c r="CI62" s="10"/>
      <c r="CJ62" s="10"/>
      <c r="CK62" s="10"/>
      <c r="CL62" s="10"/>
      <c r="CM62" s="10"/>
      <c r="CN62" s="10"/>
      <c r="CO62" s="10"/>
      <c r="CP62" s="10"/>
      <c r="CQ62" s="10"/>
      <c r="CR62" s="10"/>
      <c r="CS62" s="10"/>
      <c r="CT62" s="10"/>
      <c r="CU62" s="10"/>
      <c r="CV62" s="10"/>
      <c r="CW62" s="10"/>
      <c r="CX62" s="10"/>
      <c r="CY62" s="10"/>
      <c r="CZ62" s="10"/>
      <c r="DA62" s="10"/>
      <c r="DB62" s="10"/>
      <c r="DC62" s="10"/>
      <c r="DD62" s="10"/>
      <c r="DE62" s="10"/>
      <c r="DF62" s="10"/>
      <c r="DG62" s="10"/>
      <c r="DH62" s="10"/>
    </row>
    <row r="63" spans="1:112" ht="15.75" customHeight="1" x14ac:dyDescent="0.3">
      <c r="A63" s="13" t="s">
        <v>180</v>
      </c>
      <c r="B63" s="14">
        <v>45475</v>
      </c>
      <c r="C63" s="13" t="s">
        <v>56</v>
      </c>
      <c r="D63" s="13" t="s">
        <v>57</v>
      </c>
      <c r="E63" s="13" t="s">
        <v>118</v>
      </c>
      <c r="F63" s="13" t="s">
        <v>119</v>
      </c>
      <c r="G63" s="13" t="s">
        <v>20</v>
      </c>
      <c r="H63" s="13">
        <v>1</v>
      </c>
      <c r="I63" s="13">
        <v>89.99</v>
      </c>
      <c r="J63" s="13" t="s">
        <v>35</v>
      </c>
      <c r="K63" s="13" t="s">
        <v>51</v>
      </c>
      <c r="L63" s="13" t="s">
        <v>37</v>
      </c>
      <c r="M63" s="14">
        <v>44802</v>
      </c>
      <c r="N63" s="13">
        <v>89.99</v>
      </c>
      <c r="O63" s="10"/>
      <c r="P63" s="13"/>
      <c r="Q63" s="10"/>
      <c r="R63" s="17">
        <f t="shared" ca="1" si="2"/>
        <v>1370</v>
      </c>
      <c r="S63" s="43">
        <f t="shared" si="0"/>
        <v>45504</v>
      </c>
      <c r="T63" s="44" t="str">
        <f t="shared" si="1"/>
        <v>Wes</v>
      </c>
      <c r="U63" s="13"/>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c r="BR63" s="10"/>
      <c r="BS63" s="10"/>
      <c r="BT63" s="10"/>
      <c r="BU63" s="10"/>
      <c r="BV63" s="10"/>
      <c r="BW63" s="10"/>
      <c r="BX63" s="10"/>
      <c r="BY63" s="10"/>
      <c r="BZ63" s="10"/>
      <c r="CA63" s="10"/>
      <c r="CB63" s="10"/>
      <c r="CC63" s="10"/>
      <c r="CD63" s="10"/>
      <c r="CE63" s="10"/>
      <c r="CF63" s="10"/>
      <c r="CG63" s="10"/>
      <c r="CH63" s="10"/>
      <c r="CI63" s="10"/>
      <c r="CJ63" s="10"/>
      <c r="CK63" s="10"/>
      <c r="CL63" s="10"/>
      <c r="CM63" s="10"/>
      <c r="CN63" s="10"/>
      <c r="CO63" s="10"/>
      <c r="CP63" s="10"/>
      <c r="CQ63" s="10"/>
      <c r="CR63" s="10"/>
      <c r="CS63" s="10"/>
      <c r="CT63" s="10"/>
      <c r="CU63" s="10"/>
      <c r="CV63" s="10"/>
      <c r="CW63" s="10"/>
      <c r="CX63" s="10"/>
      <c r="CY63" s="10"/>
      <c r="CZ63" s="10"/>
      <c r="DA63" s="10"/>
      <c r="DB63" s="10"/>
      <c r="DC63" s="10"/>
      <c r="DD63" s="10"/>
      <c r="DE63" s="10"/>
      <c r="DF63" s="10"/>
      <c r="DG63" s="10"/>
      <c r="DH63" s="10"/>
    </row>
    <row r="64" spans="1:112" ht="15.75" customHeight="1" x14ac:dyDescent="0.3">
      <c r="A64" s="13" t="s">
        <v>181</v>
      </c>
      <c r="B64" s="14">
        <v>45476</v>
      </c>
      <c r="C64" s="13" t="s">
        <v>69</v>
      </c>
      <c r="D64" s="13" t="s">
        <v>70</v>
      </c>
      <c r="E64" s="13" t="s">
        <v>118</v>
      </c>
      <c r="F64" s="13" t="s">
        <v>119</v>
      </c>
      <c r="G64" s="13" t="s">
        <v>20</v>
      </c>
      <c r="H64" s="13">
        <v>1</v>
      </c>
      <c r="I64" s="13">
        <v>89.99</v>
      </c>
      <c r="J64" s="13" t="s">
        <v>21</v>
      </c>
      <c r="K64" s="13" t="s">
        <v>36</v>
      </c>
      <c r="L64" s="13" t="s">
        <v>37</v>
      </c>
      <c r="M64" s="14">
        <v>44611</v>
      </c>
      <c r="N64" s="13">
        <v>89.99</v>
      </c>
      <c r="O64" s="10"/>
      <c r="P64" s="13"/>
      <c r="Q64" s="10"/>
      <c r="R64" s="17">
        <f t="shared" ca="1" si="2"/>
        <v>1561</v>
      </c>
      <c r="S64" s="43">
        <f t="shared" si="0"/>
        <v>45504</v>
      </c>
      <c r="T64" s="44" t="str">
        <f t="shared" si="1"/>
        <v>Sou</v>
      </c>
      <c r="U64" s="13"/>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c r="BP64" s="10"/>
      <c r="BQ64" s="10"/>
      <c r="BR64" s="10"/>
      <c r="BS64" s="10"/>
      <c r="BT64" s="10"/>
      <c r="BU64" s="10"/>
      <c r="BV64" s="10"/>
      <c r="BW64" s="10"/>
      <c r="BX64" s="10"/>
      <c r="BY64" s="10"/>
      <c r="BZ64" s="10"/>
      <c r="CA64" s="10"/>
      <c r="CB64" s="10"/>
      <c r="CC64" s="10"/>
      <c r="CD64" s="10"/>
      <c r="CE64" s="10"/>
      <c r="CF64" s="10"/>
      <c r="CG64" s="10"/>
      <c r="CH64" s="10"/>
      <c r="CI64" s="10"/>
      <c r="CJ64" s="10"/>
      <c r="CK64" s="10"/>
      <c r="CL64" s="10"/>
      <c r="CM64" s="10"/>
      <c r="CN64" s="10"/>
      <c r="CO64" s="10"/>
      <c r="CP64" s="10"/>
      <c r="CQ64" s="10"/>
      <c r="CR64" s="10"/>
      <c r="CS64" s="10"/>
      <c r="CT64" s="10"/>
      <c r="CU64" s="10"/>
      <c r="CV64" s="10"/>
      <c r="CW64" s="10"/>
      <c r="CX64" s="10"/>
      <c r="CY64" s="10"/>
      <c r="CZ64" s="10"/>
      <c r="DA64" s="10"/>
      <c r="DB64" s="10"/>
      <c r="DC64" s="10"/>
      <c r="DD64" s="10"/>
      <c r="DE64" s="10"/>
      <c r="DF64" s="10"/>
      <c r="DG64" s="10"/>
      <c r="DH64" s="10"/>
    </row>
    <row r="65" spans="1:112" ht="15.75" customHeight="1" x14ac:dyDescent="0.3">
      <c r="A65" s="13" t="s">
        <v>182</v>
      </c>
      <c r="B65" s="14">
        <v>45476</v>
      </c>
      <c r="C65" s="13" t="s">
        <v>183</v>
      </c>
      <c r="D65" s="13" t="s">
        <v>184</v>
      </c>
      <c r="E65" s="13" t="s">
        <v>115</v>
      </c>
      <c r="F65" s="13" t="s">
        <v>116</v>
      </c>
      <c r="G65" s="13" t="s">
        <v>34</v>
      </c>
      <c r="H65" s="13">
        <v>5</v>
      </c>
      <c r="I65" s="13">
        <v>79.989999999999995</v>
      </c>
      <c r="J65" s="13" t="s">
        <v>58</v>
      </c>
      <c r="K65" s="13" t="s">
        <v>22</v>
      </c>
      <c r="L65" s="13" t="s">
        <v>23</v>
      </c>
      <c r="M65" s="14">
        <v>44981</v>
      </c>
      <c r="N65" s="13">
        <v>399.95</v>
      </c>
      <c r="O65" s="10"/>
      <c r="P65" s="13"/>
      <c r="Q65" s="10"/>
      <c r="R65" s="17">
        <f t="shared" ca="1" si="2"/>
        <v>1191</v>
      </c>
      <c r="S65" s="43">
        <f t="shared" si="0"/>
        <v>45504</v>
      </c>
      <c r="T65" s="44" t="str">
        <f t="shared" si="1"/>
        <v>Cen</v>
      </c>
      <c r="U65" s="13"/>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10"/>
      <c r="BR65" s="10"/>
      <c r="BS65" s="10"/>
      <c r="BT65" s="10"/>
      <c r="BU65" s="10"/>
      <c r="BV65" s="10"/>
      <c r="BW65" s="10"/>
      <c r="BX65" s="10"/>
      <c r="BY65" s="10"/>
      <c r="BZ65" s="10"/>
      <c r="CA65" s="10"/>
      <c r="CB65" s="10"/>
      <c r="CC65" s="10"/>
      <c r="CD65" s="10"/>
      <c r="CE65" s="10"/>
      <c r="CF65" s="10"/>
      <c r="CG65" s="10"/>
      <c r="CH65" s="10"/>
      <c r="CI65" s="10"/>
      <c r="CJ65" s="10"/>
      <c r="CK65" s="10"/>
      <c r="CL65" s="10"/>
      <c r="CM65" s="10"/>
      <c r="CN65" s="10"/>
      <c r="CO65" s="10"/>
      <c r="CP65" s="10"/>
      <c r="CQ65" s="10"/>
      <c r="CR65" s="10"/>
      <c r="CS65" s="10"/>
      <c r="CT65" s="10"/>
      <c r="CU65" s="10"/>
      <c r="CV65" s="10"/>
      <c r="CW65" s="10"/>
      <c r="CX65" s="10"/>
      <c r="CY65" s="10"/>
      <c r="CZ65" s="10"/>
      <c r="DA65" s="10"/>
      <c r="DB65" s="10"/>
      <c r="DC65" s="10"/>
      <c r="DD65" s="10"/>
      <c r="DE65" s="10"/>
      <c r="DF65" s="10"/>
      <c r="DG65" s="10"/>
      <c r="DH65" s="10"/>
    </row>
    <row r="66" spans="1:112" ht="15.75" customHeight="1" x14ac:dyDescent="0.3">
      <c r="A66" s="13" t="s">
        <v>185</v>
      </c>
      <c r="B66" s="14">
        <v>45481</v>
      </c>
      <c r="C66" s="13" t="s">
        <v>186</v>
      </c>
      <c r="D66" s="13" t="s">
        <v>187</v>
      </c>
      <c r="E66" s="13" t="s">
        <v>45</v>
      </c>
      <c r="F66" s="13" t="s">
        <v>46</v>
      </c>
      <c r="G66" s="13" t="s">
        <v>47</v>
      </c>
      <c r="H66" s="13">
        <v>1</v>
      </c>
      <c r="I66" s="13">
        <v>149.99</v>
      </c>
      <c r="J66" s="13" t="s">
        <v>35</v>
      </c>
      <c r="K66" s="13" t="s">
        <v>41</v>
      </c>
      <c r="L66" s="13" t="s">
        <v>23</v>
      </c>
      <c r="M66" s="14">
        <v>44421</v>
      </c>
      <c r="N66" s="13">
        <v>149.99</v>
      </c>
      <c r="O66" s="10"/>
      <c r="P66" s="13"/>
      <c r="Q66" s="10"/>
      <c r="R66" s="17">
        <f t="shared" ca="1" si="2"/>
        <v>1751</v>
      </c>
      <c r="S66" s="43">
        <f t="shared" si="0"/>
        <v>45504</v>
      </c>
      <c r="T66" s="44" t="str">
        <f t="shared" si="1"/>
        <v>Nor</v>
      </c>
      <c r="U66" s="13"/>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c r="CI66" s="10"/>
      <c r="CJ66" s="10"/>
      <c r="CK66" s="10"/>
      <c r="CL66" s="10"/>
      <c r="CM66" s="10"/>
      <c r="CN66" s="10"/>
      <c r="CO66" s="10"/>
      <c r="CP66" s="10"/>
      <c r="CQ66" s="10"/>
      <c r="CR66" s="10"/>
      <c r="CS66" s="10"/>
      <c r="CT66" s="10"/>
      <c r="CU66" s="10"/>
      <c r="CV66" s="10"/>
      <c r="CW66" s="10"/>
      <c r="CX66" s="10"/>
      <c r="CY66" s="10"/>
      <c r="CZ66" s="10"/>
      <c r="DA66" s="10"/>
      <c r="DB66" s="10"/>
      <c r="DC66" s="10"/>
      <c r="DD66" s="10"/>
      <c r="DE66" s="10"/>
      <c r="DF66" s="10"/>
      <c r="DG66" s="10"/>
      <c r="DH66" s="10"/>
    </row>
    <row r="67" spans="1:112" ht="15.75" customHeight="1" x14ac:dyDescent="0.3">
      <c r="A67" s="13" t="s">
        <v>188</v>
      </c>
      <c r="B67" s="14">
        <v>45481</v>
      </c>
      <c r="C67" s="13" t="s">
        <v>43</v>
      </c>
      <c r="D67" s="13" t="s">
        <v>44</v>
      </c>
      <c r="E67" s="13" t="s">
        <v>81</v>
      </c>
      <c r="F67" s="13" t="s">
        <v>82</v>
      </c>
      <c r="G67" s="13" t="s">
        <v>20</v>
      </c>
      <c r="H67" s="13">
        <v>2</v>
      </c>
      <c r="I67" s="13">
        <v>699.99</v>
      </c>
      <c r="J67" s="13" t="s">
        <v>35</v>
      </c>
      <c r="K67" s="13" t="s">
        <v>64</v>
      </c>
      <c r="L67" s="13" t="s">
        <v>28</v>
      </c>
      <c r="M67" s="14">
        <v>45389</v>
      </c>
      <c r="N67" s="13">
        <v>1399.98</v>
      </c>
      <c r="O67" s="10"/>
      <c r="P67" s="13"/>
      <c r="Q67" s="10"/>
      <c r="R67" s="17">
        <f t="shared" ca="1" si="2"/>
        <v>783</v>
      </c>
      <c r="S67" s="43">
        <f t="shared" si="0"/>
        <v>45504</v>
      </c>
      <c r="T67" s="44" t="str">
        <f t="shared" si="1"/>
        <v>Eas</v>
      </c>
      <c r="U67" s="13"/>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c r="BU67" s="10"/>
      <c r="BV67" s="10"/>
      <c r="BW67" s="10"/>
      <c r="BX67" s="10"/>
      <c r="BY67" s="10"/>
      <c r="BZ67" s="10"/>
      <c r="CA67" s="10"/>
      <c r="CB67" s="10"/>
      <c r="CC67" s="10"/>
      <c r="CD67" s="10"/>
      <c r="CE67" s="10"/>
      <c r="CF67" s="10"/>
      <c r="CG67" s="10"/>
      <c r="CH67" s="10"/>
      <c r="CI67" s="10"/>
      <c r="CJ67" s="10"/>
      <c r="CK67" s="10"/>
      <c r="CL67" s="10"/>
      <c r="CM67" s="10"/>
      <c r="CN67" s="10"/>
      <c r="CO67" s="10"/>
      <c r="CP67" s="10"/>
      <c r="CQ67" s="10"/>
      <c r="CR67" s="10"/>
      <c r="CS67" s="10"/>
      <c r="CT67" s="10"/>
      <c r="CU67" s="10"/>
      <c r="CV67" s="10"/>
      <c r="CW67" s="10"/>
      <c r="CX67" s="10"/>
      <c r="CY67" s="10"/>
      <c r="CZ67" s="10"/>
      <c r="DA67" s="10"/>
      <c r="DB67" s="10"/>
      <c r="DC67" s="10"/>
      <c r="DD67" s="10"/>
      <c r="DE67" s="10"/>
      <c r="DF67" s="10"/>
      <c r="DG67" s="10"/>
      <c r="DH67" s="10"/>
    </row>
    <row r="68" spans="1:112" ht="15.75" customHeight="1" x14ac:dyDescent="0.3">
      <c r="A68" s="13" t="s">
        <v>189</v>
      </c>
      <c r="B68" s="14">
        <v>45481</v>
      </c>
      <c r="C68" s="13" t="s">
        <v>97</v>
      </c>
      <c r="D68" s="13" t="s">
        <v>98</v>
      </c>
      <c r="E68" s="13" t="s">
        <v>118</v>
      </c>
      <c r="F68" s="13" t="s">
        <v>119</v>
      </c>
      <c r="G68" s="13" t="s">
        <v>20</v>
      </c>
      <c r="H68" s="13">
        <v>5</v>
      </c>
      <c r="I68" s="13">
        <v>89.99</v>
      </c>
      <c r="J68" s="13" t="s">
        <v>58</v>
      </c>
      <c r="K68" s="13" t="s">
        <v>41</v>
      </c>
      <c r="L68" s="13" t="s">
        <v>28</v>
      </c>
      <c r="M68" s="14">
        <v>45161</v>
      </c>
      <c r="N68" s="13">
        <v>449.95</v>
      </c>
      <c r="O68" s="10"/>
      <c r="P68" s="13"/>
      <c r="Q68" s="10"/>
      <c r="R68" s="17">
        <f t="shared" ca="1" si="2"/>
        <v>1011</v>
      </c>
      <c r="S68" s="43">
        <f t="shared" ref="S68:S131" si="3">EOMONTH(B68,0)</f>
        <v>45504</v>
      </c>
      <c r="T68" s="44" t="str">
        <f t="shared" ref="T68:T131" si="4">LEFT(K68,3)</f>
        <v>Nor</v>
      </c>
      <c r="U68" s="13"/>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c r="CI68" s="10"/>
      <c r="CJ68" s="10"/>
      <c r="CK68" s="10"/>
      <c r="CL68" s="10"/>
      <c r="CM68" s="10"/>
      <c r="CN68" s="10"/>
      <c r="CO68" s="10"/>
      <c r="CP68" s="10"/>
      <c r="CQ68" s="10"/>
      <c r="CR68" s="10"/>
      <c r="CS68" s="10"/>
      <c r="CT68" s="10"/>
      <c r="CU68" s="10"/>
      <c r="CV68" s="10"/>
      <c r="CW68" s="10"/>
      <c r="CX68" s="10"/>
      <c r="CY68" s="10"/>
      <c r="CZ68" s="10"/>
      <c r="DA68" s="10"/>
      <c r="DB68" s="10"/>
      <c r="DC68" s="10"/>
      <c r="DD68" s="10"/>
      <c r="DE68" s="10"/>
      <c r="DF68" s="10"/>
      <c r="DG68" s="10"/>
      <c r="DH68" s="10"/>
    </row>
    <row r="69" spans="1:112" ht="15.75" customHeight="1" x14ac:dyDescent="0.3">
      <c r="A69" s="13" t="s">
        <v>190</v>
      </c>
      <c r="B69" s="14">
        <v>45482</v>
      </c>
      <c r="C69" s="13" t="s">
        <v>172</v>
      </c>
      <c r="D69" s="13" t="s">
        <v>173</v>
      </c>
      <c r="E69" s="13" t="s">
        <v>32</v>
      </c>
      <c r="F69" s="13" t="s">
        <v>33</v>
      </c>
      <c r="G69" s="13" t="s">
        <v>34</v>
      </c>
      <c r="H69" s="13">
        <v>4</v>
      </c>
      <c r="I69" s="13">
        <v>59.99</v>
      </c>
      <c r="J69" s="13" t="s">
        <v>21</v>
      </c>
      <c r="K69" s="13" t="s">
        <v>36</v>
      </c>
      <c r="L69" s="13" t="s">
        <v>37</v>
      </c>
      <c r="M69" s="14">
        <v>44509</v>
      </c>
      <c r="N69" s="13">
        <v>239.96</v>
      </c>
      <c r="O69" s="10"/>
      <c r="P69" s="13"/>
      <c r="Q69" s="10"/>
      <c r="R69" s="17">
        <f t="shared" ref="R69:R132" ca="1" si="5">DATEDIF(M69,TODAY(),"D")</f>
        <v>1663</v>
      </c>
      <c r="S69" s="43">
        <f t="shared" si="3"/>
        <v>45504</v>
      </c>
      <c r="T69" s="44" t="str">
        <f t="shared" si="4"/>
        <v>Sou</v>
      </c>
      <c r="U69" s="13"/>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c r="BR69" s="10"/>
      <c r="BS69" s="10"/>
      <c r="BT69" s="10"/>
      <c r="BU69" s="10"/>
      <c r="BV69" s="10"/>
      <c r="BW69" s="10"/>
      <c r="BX69" s="10"/>
      <c r="BY69" s="10"/>
      <c r="BZ69" s="10"/>
      <c r="CA69" s="10"/>
      <c r="CB69" s="10"/>
      <c r="CC69" s="10"/>
      <c r="CD69" s="10"/>
      <c r="CE69" s="10"/>
      <c r="CF69" s="10"/>
      <c r="CG69" s="10"/>
      <c r="CH69" s="10"/>
      <c r="CI69" s="10"/>
      <c r="CJ69" s="10"/>
      <c r="CK69" s="10"/>
      <c r="CL69" s="10"/>
      <c r="CM69" s="10"/>
      <c r="CN69" s="10"/>
      <c r="CO69" s="10"/>
      <c r="CP69" s="10"/>
      <c r="CQ69" s="10"/>
      <c r="CR69" s="10"/>
      <c r="CS69" s="10"/>
      <c r="CT69" s="10"/>
      <c r="CU69" s="10"/>
      <c r="CV69" s="10"/>
      <c r="CW69" s="10"/>
      <c r="CX69" s="10"/>
      <c r="CY69" s="10"/>
      <c r="CZ69" s="10"/>
      <c r="DA69" s="10"/>
      <c r="DB69" s="10"/>
      <c r="DC69" s="10"/>
      <c r="DD69" s="10"/>
      <c r="DE69" s="10"/>
      <c r="DF69" s="10"/>
      <c r="DG69" s="10"/>
      <c r="DH69" s="10"/>
    </row>
    <row r="70" spans="1:112" ht="15.75" customHeight="1" x14ac:dyDescent="0.3">
      <c r="A70" s="13" t="s">
        <v>191</v>
      </c>
      <c r="B70" s="14">
        <v>45484</v>
      </c>
      <c r="C70" s="13" t="s">
        <v>25</v>
      </c>
      <c r="D70" s="13" t="s">
        <v>26</v>
      </c>
      <c r="E70" s="13" t="s">
        <v>53</v>
      </c>
      <c r="F70" s="13" t="s">
        <v>54</v>
      </c>
      <c r="G70" s="13" t="s">
        <v>20</v>
      </c>
      <c r="H70" s="13">
        <v>1</v>
      </c>
      <c r="I70" s="13">
        <v>149.99</v>
      </c>
      <c r="J70" s="13" t="s">
        <v>21</v>
      </c>
      <c r="K70" s="13" t="s">
        <v>22</v>
      </c>
      <c r="L70" s="13" t="s">
        <v>37</v>
      </c>
      <c r="M70" s="14">
        <v>44909</v>
      </c>
      <c r="N70" s="13">
        <v>149.99</v>
      </c>
      <c r="O70" s="10"/>
      <c r="P70" s="13"/>
      <c r="Q70" s="10"/>
      <c r="R70" s="17">
        <f t="shared" ca="1" si="5"/>
        <v>1263</v>
      </c>
      <c r="S70" s="43">
        <f t="shared" si="3"/>
        <v>45504</v>
      </c>
      <c r="T70" s="44" t="str">
        <f t="shared" si="4"/>
        <v>Cen</v>
      </c>
      <c r="U70" s="13"/>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c r="CJ70" s="10"/>
      <c r="CK70" s="10"/>
      <c r="CL70" s="10"/>
      <c r="CM70" s="10"/>
      <c r="CN70" s="10"/>
      <c r="CO70" s="10"/>
      <c r="CP70" s="10"/>
      <c r="CQ70" s="10"/>
      <c r="CR70" s="10"/>
      <c r="CS70" s="10"/>
      <c r="CT70" s="10"/>
      <c r="CU70" s="10"/>
      <c r="CV70" s="10"/>
      <c r="CW70" s="10"/>
      <c r="CX70" s="10"/>
      <c r="CY70" s="10"/>
      <c r="CZ70" s="10"/>
      <c r="DA70" s="10"/>
      <c r="DB70" s="10"/>
      <c r="DC70" s="10"/>
      <c r="DD70" s="10"/>
      <c r="DE70" s="10"/>
      <c r="DF70" s="10"/>
      <c r="DG70" s="10"/>
      <c r="DH70" s="10"/>
    </row>
    <row r="71" spans="1:112" ht="15.75" customHeight="1" x14ac:dyDescent="0.3">
      <c r="A71" s="13" t="s">
        <v>192</v>
      </c>
      <c r="B71" s="14">
        <v>45484</v>
      </c>
      <c r="C71" s="13" t="s">
        <v>193</v>
      </c>
      <c r="D71" s="13" t="s">
        <v>194</v>
      </c>
      <c r="E71" s="13" t="s">
        <v>106</v>
      </c>
      <c r="F71" s="13" t="s">
        <v>107</v>
      </c>
      <c r="G71" s="13" t="s">
        <v>47</v>
      </c>
      <c r="H71" s="13">
        <v>1</v>
      </c>
      <c r="I71" s="13">
        <v>299.99</v>
      </c>
      <c r="J71" s="13" t="s">
        <v>27</v>
      </c>
      <c r="K71" s="13" t="s">
        <v>41</v>
      </c>
      <c r="L71" s="13" t="s">
        <v>28</v>
      </c>
      <c r="M71" s="14">
        <v>44891</v>
      </c>
      <c r="N71" s="13">
        <v>299.99</v>
      </c>
      <c r="O71" s="10"/>
      <c r="P71" s="13"/>
      <c r="Q71" s="10"/>
      <c r="R71" s="17">
        <f t="shared" ca="1" si="5"/>
        <v>1281</v>
      </c>
      <c r="S71" s="43">
        <f t="shared" si="3"/>
        <v>45504</v>
      </c>
      <c r="T71" s="44" t="str">
        <f t="shared" si="4"/>
        <v>Nor</v>
      </c>
      <c r="U71" s="13"/>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c r="BR71" s="10"/>
      <c r="BS71" s="10"/>
      <c r="BT71" s="10"/>
      <c r="BU71" s="10"/>
      <c r="BV71" s="10"/>
      <c r="BW71" s="10"/>
      <c r="BX71" s="10"/>
      <c r="BY71" s="10"/>
      <c r="BZ71" s="10"/>
      <c r="CA71" s="10"/>
      <c r="CB71" s="10"/>
      <c r="CC71" s="10"/>
      <c r="CD71" s="10"/>
      <c r="CE71" s="10"/>
      <c r="CF71" s="10"/>
      <c r="CG71" s="10"/>
      <c r="CH71" s="10"/>
      <c r="CI71" s="10"/>
      <c r="CJ71" s="10"/>
      <c r="CK71" s="10"/>
      <c r="CL71" s="10"/>
      <c r="CM71" s="10"/>
      <c r="CN71" s="10"/>
      <c r="CO71" s="10"/>
      <c r="CP71" s="10"/>
      <c r="CQ71" s="10"/>
      <c r="CR71" s="10"/>
      <c r="CS71" s="10"/>
      <c r="CT71" s="10"/>
      <c r="CU71" s="10"/>
      <c r="CV71" s="10"/>
      <c r="CW71" s="10"/>
      <c r="CX71" s="10"/>
      <c r="CY71" s="10"/>
      <c r="CZ71" s="10"/>
      <c r="DA71" s="10"/>
      <c r="DB71" s="10"/>
      <c r="DC71" s="10"/>
      <c r="DD71" s="10"/>
      <c r="DE71" s="10"/>
      <c r="DF71" s="10"/>
      <c r="DG71" s="10"/>
      <c r="DH71" s="10"/>
    </row>
    <row r="72" spans="1:112" ht="15.75" customHeight="1" x14ac:dyDescent="0.3">
      <c r="A72" s="13" t="s">
        <v>195</v>
      </c>
      <c r="B72" s="14">
        <v>45487</v>
      </c>
      <c r="C72" s="13" t="s">
        <v>193</v>
      </c>
      <c r="D72" s="13" t="s">
        <v>194</v>
      </c>
      <c r="E72" s="13" t="s">
        <v>127</v>
      </c>
      <c r="F72" s="13" t="s">
        <v>128</v>
      </c>
      <c r="G72" s="13" t="s">
        <v>47</v>
      </c>
      <c r="H72" s="13">
        <v>2</v>
      </c>
      <c r="I72" s="13">
        <v>199.99</v>
      </c>
      <c r="J72" s="13" t="s">
        <v>21</v>
      </c>
      <c r="K72" s="13" t="s">
        <v>41</v>
      </c>
      <c r="L72" s="13" t="s">
        <v>23</v>
      </c>
      <c r="M72" s="14">
        <v>44541</v>
      </c>
      <c r="N72" s="13">
        <v>399.98</v>
      </c>
      <c r="O72" s="10"/>
      <c r="P72" s="13"/>
      <c r="Q72" s="10"/>
      <c r="R72" s="17">
        <f t="shared" ca="1" si="5"/>
        <v>1631</v>
      </c>
      <c r="S72" s="43">
        <f t="shared" si="3"/>
        <v>45504</v>
      </c>
      <c r="T72" s="44" t="str">
        <f t="shared" si="4"/>
        <v>Nor</v>
      </c>
      <c r="U72" s="13"/>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c r="CI72" s="10"/>
      <c r="CJ72" s="10"/>
      <c r="CK72" s="10"/>
      <c r="CL72" s="10"/>
      <c r="CM72" s="10"/>
      <c r="CN72" s="10"/>
      <c r="CO72" s="10"/>
      <c r="CP72" s="10"/>
      <c r="CQ72" s="10"/>
      <c r="CR72" s="10"/>
      <c r="CS72" s="10"/>
      <c r="CT72" s="10"/>
      <c r="CU72" s="10"/>
      <c r="CV72" s="10"/>
      <c r="CW72" s="10"/>
      <c r="CX72" s="10"/>
      <c r="CY72" s="10"/>
      <c r="CZ72" s="10"/>
      <c r="DA72" s="10"/>
      <c r="DB72" s="10"/>
      <c r="DC72" s="10"/>
      <c r="DD72" s="10"/>
      <c r="DE72" s="10"/>
      <c r="DF72" s="10"/>
      <c r="DG72" s="10"/>
      <c r="DH72" s="10"/>
    </row>
    <row r="73" spans="1:112" ht="15.75" customHeight="1" x14ac:dyDescent="0.3">
      <c r="A73" s="13" t="s">
        <v>196</v>
      </c>
      <c r="B73" s="14">
        <v>45490</v>
      </c>
      <c r="C73" s="13" t="s">
        <v>197</v>
      </c>
      <c r="D73" s="13" t="s">
        <v>198</v>
      </c>
      <c r="E73" s="13" t="s">
        <v>32</v>
      </c>
      <c r="F73" s="13" t="s">
        <v>33</v>
      </c>
      <c r="G73" s="13" t="s">
        <v>34</v>
      </c>
      <c r="H73" s="13">
        <v>3</v>
      </c>
      <c r="I73" s="13">
        <v>59.99</v>
      </c>
      <c r="J73" s="13" t="s">
        <v>27</v>
      </c>
      <c r="K73" s="13" t="s">
        <v>51</v>
      </c>
      <c r="L73" s="13" t="s">
        <v>23</v>
      </c>
      <c r="M73" s="14">
        <v>45130</v>
      </c>
      <c r="N73" s="13">
        <v>179.97</v>
      </c>
      <c r="O73" s="10"/>
      <c r="P73" s="13"/>
      <c r="Q73" s="10"/>
      <c r="R73" s="17">
        <f t="shared" ca="1" si="5"/>
        <v>1042</v>
      </c>
      <c r="S73" s="43">
        <f t="shared" si="3"/>
        <v>45504</v>
      </c>
      <c r="T73" s="44" t="str">
        <f t="shared" si="4"/>
        <v>Wes</v>
      </c>
      <c r="U73" s="13"/>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c r="BR73" s="10"/>
      <c r="BS73" s="10"/>
      <c r="BT73" s="10"/>
      <c r="BU73" s="10"/>
      <c r="BV73" s="10"/>
      <c r="BW73" s="10"/>
      <c r="BX73" s="10"/>
      <c r="BY73" s="10"/>
      <c r="BZ73" s="10"/>
      <c r="CA73" s="10"/>
      <c r="CB73" s="10"/>
      <c r="CC73" s="10"/>
      <c r="CD73" s="10"/>
      <c r="CE73" s="10"/>
      <c r="CF73" s="10"/>
      <c r="CG73" s="10"/>
      <c r="CH73" s="10"/>
      <c r="CI73" s="10"/>
      <c r="CJ73" s="10"/>
      <c r="CK73" s="10"/>
      <c r="CL73" s="10"/>
      <c r="CM73" s="10"/>
      <c r="CN73" s="10"/>
      <c r="CO73" s="10"/>
      <c r="CP73" s="10"/>
      <c r="CQ73" s="10"/>
      <c r="CR73" s="10"/>
      <c r="CS73" s="10"/>
      <c r="CT73" s="10"/>
      <c r="CU73" s="10"/>
      <c r="CV73" s="10"/>
      <c r="CW73" s="10"/>
      <c r="CX73" s="10"/>
      <c r="CY73" s="10"/>
      <c r="CZ73" s="10"/>
      <c r="DA73" s="10"/>
      <c r="DB73" s="10"/>
      <c r="DC73" s="10"/>
      <c r="DD73" s="10"/>
      <c r="DE73" s="10"/>
      <c r="DF73" s="10"/>
      <c r="DG73" s="10"/>
      <c r="DH73" s="10"/>
    </row>
    <row r="74" spans="1:112" ht="15.75" customHeight="1" x14ac:dyDescent="0.3">
      <c r="A74" s="13" t="s">
        <v>199</v>
      </c>
      <c r="B74" s="14">
        <v>45490</v>
      </c>
      <c r="C74" s="13" t="s">
        <v>73</v>
      </c>
      <c r="D74" s="13" t="s">
        <v>74</v>
      </c>
      <c r="E74" s="13" t="s">
        <v>45</v>
      </c>
      <c r="F74" s="13" t="s">
        <v>46</v>
      </c>
      <c r="G74" s="13" t="s">
        <v>47</v>
      </c>
      <c r="H74" s="13">
        <v>3</v>
      </c>
      <c r="I74" s="13">
        <v>149.99</v>
      </c>
      <c r="J74" s="13" t="s">
        <v>21</v>
      </c>
      <c r="K74" s="13" t="s">
        <v>22</v>
      </c>
      <c r="L74" s="13" t="s">
        <v>28</v>
      </c>
      <c r="M74" s="14">
        <v>45199</v>
      </c>
      <c r="N74" s="13">
        <v>449.97</v>
      </c>
      <c r="O74" s="10"/>
      <c r="P74" s="13"/>
      <c r="Q74" s="10"/>
      <c r="R74" s="17">
        <f t="shared" ca="1" si="5"/>
        <v>973</v>
      </c>
      <c r="S74" s="43">
        <f t="shared" si="3"/>
        <v>45504</v>
      </c>
      <c r="T74" s="44" t="str">
        <f t="shared" si="4"/>
        <v>Cen</v>
      </c>
      <c r="U74" s="13"/>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c r="CD74" s="10"/>
      <c r="CE74" s="10"/>
      <c r="CF74" s="10"/>
      <c r="CG74" s="10"/>
      <c r="CH74" s="10"/>
      <c r="CI74" s="10"/>
      <c r="CJ74" s="10"/>
      <c r="CK74" s="10"/>
      <c r="CL74" s="10"/>
      <c r="CM74" s="10"/>
      <c r="CN74" s="10"/>
      <c r="CO74" s="10"/>
      <c r="CP74" s="10"/>
      <c r="CQ74" s="10"/>
      <c r="CR74" s="10"/>
      <c r="CS74" s="10"/>
      <c r="CT74" s="10"/>
      <c r="CU74" s="10"/>
      <c r="CV74" s="10"/>
      <c r="CW74" s="10"/>
      <c r="CX74" s="10"/>
      <c r="CY74" s="10"/>
      <c r="CZ74" s="10"/>
      <c r="DA74" s="10"/>
      <c r="DB74" s="10"/>
      <c r="DC74" s="10"/>
      <c r="DD74" s="10"/>
      <c r="DE74" s="10"/>
      <c r="DF74" s="10"/>
      <c r="DG74" s="10"/>
      <c r="DH74" s="10"/>
    </row>
    <row r="75" spans="1:112" ht="15.75" customHeight="1" x14ac:dyDescent="0.3">
      <c r="A75" s="13" t="s">
        <v>200</v>
      </c>
      <c r="B75" s="14">
        <v>45491</v>
      </c>
      <c r="C75" s="13" t="s">
        <v>66</v>
      </c>
      <c r="D75" s="13" t="s">
        <v>67</v>
      </c>
      <c r="E75" s="13" t="s">
        <v>127</v>
      </c>
      <c r="F75" s="13" t="s">
        <v>128</v>
      </c>
      <c r="G75" s="13" t="s">
        <v>47</v>
      </c>
      <c r="H75" s="13">
        <v>3</v>
      </c>
      <c r="I75" s="13">
        <v>199.99</v>
      </c>
      <c r="J75" s="13" t="s">
        <v>21</v>
      </c>
      <c r="K75" s="13" t="s">
        <v>41</v>
      </c>
      <c r="L75" s="13" t="s">
        <v>28</v>
      </c>
      <c r="M75" s="14">
        <v>45254</v>
      </c>
      <c r="N75" s="13">
        <v>599.97</v>
      </c>
      <c r="O75" s="10"/>
      <c r="P75" s="13"/>
      <c r="Q75" s="10"/>
      <c r="R75" s="17">
        <f t="shared" ca="1" si="5"/>
        <v>918</v>
      </c>
      <c r="S75" s="43">
        <f t="shared" si="3"/>
        <v>45504</v>
      </c>
      <c r="T75" s="44" t="str">
        <f t="shared" si="4"/>
        <v>Nor</v>
      </c>
      <c r="U75" s="13"/>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c r="BR75" s="10"/>
      <c r="BS75" s="10"/>
      <c r="BT75" s="10"/>
      <c r="BU75" s="10"/>
      <c r="BV75" s="10"/>
      <c r="BW75" s="10"/>
      <c r="BX75" s="10"/>
      <c r="BY75" s="10"/>
      <c r="BZ75" s="10"/>
      <c r="CA75" s="10"/>
      <c r="CB75" s="10"/>
      <c r="CC75" s="10"/>
      <c r="CD75" s="10"/>
      <c r="CE75" s="10"/>
      <c r="CF75" s="10"/>
      <c r="CG75" s="10"/>
      <c r="CH75" s="10"/>
      <c r="CI75" s="10"/>
      <c r="CJ75" s="10"/>
      <c r="CK75" s="10"/>
      <c r="CL75" s="10"/>
      <c r="CM75" s="10"/>
      <c r="CN75" s="10"/>
      <c r="CO75" s="10"/>
      <c r="CP75" s="10"/>
      <c r="CQ75" s="10"/>
      <c r="CR75" s="10"/>
      <c r="CS75" s="10"/>
      <c r="CT75" s="10"/>
      <c r="CU75" s="10"/>
      <c r="CV75" s="10"/>
      <c r="CW75" s="10"/>
      <c r="CX75" s="10"/>
      <c r="CY75" s="10"/>
      <c r="CZ75" s="10"/>
      <c r="DA75" s="10"/>
      <c r="DB75" s="10"/>
      <c r="DC75" s="10"/>
      <c r="DD75" s="10"/>
      <c r="DE75" s="10"/>
      <c r="DF75" s="10"/>
      <c r="DG75" s="10"/>
      <c r="DH75" s="10"/>
    </row>
    <row r="76" spans="1:112" ht="15.75" customHeight="1" x14ac:dyDescent="0.3">
      <c r="A76" s="13" t="s">
        <v>201</v>
      </c>
      <c r="B76" s="14">
        <v>45496</v>
      </c>
      <c r="C76" s="13" t="s">
        <v>151</v>
      </c>
      <c r="D76" s="13" t="s">
        <v>152</v>
      </c>
      <c r="E76" s="13" t="s">
        <v>62</v>
      </c>
      <c r="F76" s="13" t="s">
        <v>63</v>
      </c>
      <c r="G76" s="13" t="s">
        <v>20</v>
      </c>
      <c r="H76" s="13">
        <v>1</v>
      </c>
      <c r="I76" s="13">
        <v>899.99</v>
      </c>
      <c r="J76" s="13" t="s">
        <v>21</v>
      </c>
      <c r="K76" s="13" t="s">
        <v>22</v>
      </c>
      <c r="L76" s="13" t="s">
        <v>37</v>
      </c>
      <c r="M76" s="14">
        <v>45179</v>
      </c>
      <c r="N76" s="13">
        <v>899.99</v>
      </c>
      <c r="O76" s="10"/>
      <c r="P76" s="13"/>
      <c r="Q76" s="10"/>
      <c r="R76" s="17">
        <f t="shared" ca="1" si="5"/>
        <v>993</v>
      </c>
      <c r="S76" s="43">
        <f t="shared" si="3"/>
        <v>45504</v>
      </c>
      <c r="T76" s="44" t="str">
        <f t="shared" si="4"/>
        <v>Cen</v>
      </c>
      <c r="U76" s="13"/>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c r="BN76" s="10"/>
      <c r="BO76" s="10"/>
      <c r="BP76" s="10"/>
      <c r="BQ76" s="10"/>
      <c r="BR76" s="10"/>
      <c r="BS76" s="10"/>
      <c r="BT76" s="10"/>
      <c r="BU76" s="10"/>
      <c r="BV76" s="10"/>
      <c r="BW76" s="10"/>
      <c r="BX76" s="10"/>
      <c r="BY76" s="10"/>
      <c r="BZ76" s="10"/>
      <c r="CA76" s="10"/>
      <c r="CB76" s="10"/>
      <c r="CC76" s="10"/>
      <c r="CD76" s="10"/>
      <c r="CE76" s="10"/>
      <c r="CF76" s="10"/>
      <c r="CG76" s="10"/>
      <c r="CH76" s="10"/>
      <c r="CI76" s="10"/>
      <c r="CJ76" s="10"/>
      <c r="CK76" s="10"/>
      <c r="CL76" s="10"/>
      <c r="CM76" s="10"/>
      <c r="CN76" s="10"/>
      <c r="CO76" s="10"/>
      <c r="CP76" s="10"/>
      <c r="CQ76" s="10"/>
      <c r="CR76" s="10"/>
      <c r="CS76" s="10"/>
      <c r="CT76" s="10"/>
      <c r="CU76" s="10"/>
      <c r="CV76" s="10"/>
      <c r="CW76" s="10"/>
      <c r="CX76" s="10"/>
      <c r="CY76" s="10"/>
      <c r="CZ76" s="10"/>
      <c r="DA76" s="10"/>
      <c r="DB76" s="10"/>
      <c r="DC76" s="10"/>
      <c r="DD76" s="10"/>
      <c r="DE76" s="10"/>
      <c r="DF76" s="10"/>
      <c r="DG76" s="10"/>
      <c r="DH76" s="10"/>
    </row>
    <row r="77" spans="1:112" ht="15.75" customHeight="1" x14ac:dyDescent="0.3">
      <c r="A77" s="13" t="s">
        <v>202</v>
      </c>
      <c r="B77" s="14">
        <v>45497</v>
      </c>
      <c r="C77" s="13" t="s">
        <v>25</v>
      </c>
      <c r="D77" s="13" t="s">
        <v>26</v>
      </c>
      <c r="E77" s="13" t="s">
        <v>62</v>
      </c>
      <c r="F77" s="13" t="s">
        <v>63</v>
      </c>
      <c r="G77" s="13" t="s">
        <v>20</v>
      </c>
      <c r="H77" s="13">
        <v>5</v>
      </c>
      <c r="I77" s="13">
        <v>899.99</v>
      </c>
      <c r="J77" s="13" t="s">
        <v>58</v>
      </c>
      <c r="K77" s="13" t="s">
        <v>36</v>
      </c>
      <c r="L77" s="13" t="s">
        <v>37</v>
      </c>
      <c r="M77" s="14">
        <v>44899</v>
      </c>
      <c r="N77" s="13">
        <v>4499.95</v>
      </c>
      <c r="O77" s="10"/>
      <c r="P77" s="13"/>
      <c r="Q77" s="10"/>
      <c r="R77" s="17">
        <f t="shared" ca="1" si="5"/>
        <v>1273</v>
      </c>
      <c r="S77" s="43">
        <f t="shared" si="3"/>
        <v>45504</v>
      </c>
      <c r="T77" s="44" t="str">
        <f t="shared" si="4"/>
        <v>Sou</v>
      </c>
      <c r="U77" s="13"/>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c r="BP77" s="10"/>
      <c r="BQ77" s="10"/>
      <c r="BR77" s="10"/>
      <c r="BS77" s="10"/>
      <c r="BT77" s="10"/>
      <c r="BU77" s="10"/>
      <c r="BV77" s="10"/>
      <c r="BW77" s="10"/>
      <c r="BX77" s="10"/>
      <c r="BY77" s="10"/>
      <c r="BZ77" s="10"/>
      <c r="CA77" s="10"/>
      <c r="CB77" s="10"/>
      <c r="CC77" s="10"/>
      <c r="CD77" s="10"/>
      <c r="CE77" s="10"/>
      <c r="CF77" s="10"/>
      <c r="CG77" s="10"/>
      <c r="CH77" s="10"/>
      <c r="CI77" s="10"/>
      <c r="CJ77" s="10"/>
      <c r="CK77" s="10"/>
      <c r="CL77" s="10"/>
      <c r="CM77" s="10"/>
      <c r="CN77" s="10"/>
      <c r="CO77" s="10"/>
      <c r="CP77" s="10"/>
      <c r="CQ77" s="10"/>
      <c r="CR77" s="10"/>
      <c r="CS77" s="10"/>
      <c r="CT77" s="10"/>
      <c r="CU77" s="10"/>
      <c r="CV77" s="10"/>
      <c r="CW77" s="10"/>
      <c r="CX77" s="10"/>
      <c r="CY77" s="10"/>
      <c r="CZ77" s="10"/>
      <c r="DA77" s="10"/>
      <c r="DB77" s="10"/>
      <c r="DC77" s="10"/>
      <c r="DD77" s="10"/>
      <c r="DE77" s="10"/>
      <c r="DF77" s="10"/>
      <c r="DG77" s="10"/>
      <c r="DH77" s="10"/>
    </row>
    <row r="78" spans="1:112" ht="15.75" customHeight="1" x14ac:dyDescent="0.3">
      <c r="A78" s="13" t="s">
        <v>203</v>
      </c>
      <c r="B78" s="14">
        <v>45498</v>
      </c>
      <c r="C78" s="13" t="s">
        <v>183</v>
      </c>
      <c r="D78" s="13" t="s">
        <v>184</v>
      </c>
      <c r="E78" s="13" t="s">
        <v>32</v>
      </c>
      <c r="F78" s="13" t="s">
        <v>33</v>
      </c>
      <c r="G78" s="13" t="s">
        <v>34</v>
      </c>
      <c r="H78" s="13">
        <v>2</v>
      </c>
      <c r="I78" s="13">
        <v>59.99</v>
      </c>
      <c r="J78" s="13" t="s">
        <v>21</v>
      </c>
      <c r="K78" s="13" t="s">
        <v>41</v>
      </c>
      <c r="L78" s="13" t="s">
        <v>37</v>
      </c>
      <c r="M78" s="14">
        <v>45152</v>
      </c>
      <c r="N78" s="13">
        <v>119.98</v>
      </c>
      <c r="O78" s="10"/>
      <c r="P78" s="13"/>
      <c r="Q78" s="10"/>
      <c r="R78" s="17">
        <f t="shared" ca="1" si="5"/>
        <v>1020</v>
      </c>
      <c r="S78" s="43">
        <f t="shared" si="3"/>
        <v>45504</v>
      </c>
      <c r="T78" s="44" t="str">
        <f t="shared" si="4"/>
        <v>Nor</v>
      </c>
      <c r="U78" s="13"/>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10"/>
      <c r="BN78" s="10"/>
      <c r="BO78" s="10"/>
      <c r="BP78" s="10"/>
      <c r="BQ78" s="10"/>
      <c r="BR78" s="10"/>
      <c r="BS78" s="10"/>
      <c r="BT78" s="10"/>
      <c r="BU78" s="10"/>
      <c r="BV78" s="10"/>
      <c r="BW78" s="10"/>
      <c r="BX78" s="10"/>
      <c r="BY78" s="10"/>
      <c r="BZ78" s="10"/>
      <c r="CA78" s="10"/>
      <c r="CB78" s="10"/>
      <c r="CC78" s="10"/>
      <c r="CD78" s="10"/>
      <c r="CE78" s="10"/>
      <c r="CF78" s="10"/>
      <c r="CG78" s="10"/>
      <c r="CH78" s="10"/>
      <c r="CI78" s="10"/>
      <c r="CJ78" s="10"/>
      <c r="CK78" s="10"/>
      <c r="CL78" s="10"/>
      <c r="CM78" s="10"/>
      <c r="CN78" s="10"/>
      <c r="CO78" s="10"/>
      <c r="CP78" s="10"/>
      <c r="CQ78" s="10"/>
      <c r="CR78" s="10"/>
      <c r="CS78" s="10"/>
      <c r="CT78" s="10"/>
      <c r="CU78" s="10"/>
      <c r="CV78" s="10"/>
      <c r="CW78" s="10"/>
      <c r="CX78" s="10"/>
      <c r="CY78" s="10"/>
      <c r="CZ78" s="10"/>
      <c r="DA78" s="10"/>
      <c r="DB78" s="10"/>
      <c r="DC78" s="10"/>
      <c r="DD78" s="10"/>
      <c r="DE78" s="10"/>
      <c r="DF78" s="10"/>
      <c r="DG78" s="10"/>
      <c r="DH78" s="10"/>
    </row>
    <row r="79" spans="1:112" ht="15.75" customHeight="1" x14ac:dyDescent="0.3">
      <c r="A79" s="13" t="s">
        <v>204</v>
      </c>
      <c r="B79" s="14">
        <v>45498</v>
      </c>
      <c r="C79" s="13" t="s">
        <v>197</v>
      </c>
      <c r="D79" s="13" t="s">
        <v>198</v>
      </c>
      <c r="E79" s="13" t="s">
        <v>18</v>
      </c>
      <c r="F79" s="13" t="s">
        <v>19</v>
      </c>
      <c r="G79" s="13" t="s">
        <v>20</v>
      </c>
      <c r="H79" s="13">
        <v>4</v>
      </c>
      <c r="I79" s="13">
        <v>249.99</v>
      </c>
      <c r="J79" s="13" t="s">
        <v>58</v>
      </c>
      <c r="K79" s="13" t="s">
        <v>22</v>
      </c>
      <c r="L79" s="13" t="s">
        <v>37</v>
      </c>
      <c r="M79" s="14">
        <v>45127</v>
      </c>
      <c r="N79" s="13">
        <v>999.96</v>
      </c>
      <c r="O79" s="10"/>
      <c r="P79" s="13"/>
      <c r="Q79" s="10"/>
      <c r="R79" s="17">
        <f t="shared" ca="1" si="5"/>
        <v>1045</v>
      </c>
      <c r="S79" s="43">
        <f t="shared" si="3"/>
        <v>45504</v>
      </c>
      <c r="T79" s="44" t="str">
        <f t="shared" si="4"/>
        <v>Cen</v>
      </c>
      <c r="U79" s="13"/>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10"/>
      <c r="BO79" s="10"/>
      <c r="BP79" s="10"/>
      <c r="BQ79" s="10"/>
      <c r="BR79" s="10"/>
      <c r="BS79" s="10"/>
      <c r="BT79" s="10"/>
      <c r="BU79" s="10"/>
      <c r="BV79" s="10"/>
      <c r="BW79" s="10"/>
      <c r="BX79" s="10"/>
      <c r="BY79" s="10"/>
      <c r="BZ79" s="10"/>
      <c r="CA79" s="10"/>
      <c r="CB79" s="10"/>
      <c r="CC79" s="10"/>
      <c r="CD79" s="10"/>
      <c r="CE79" s="10"/>
      <c r="CF79" s="10"/>
      <c r="CG79" s="10"/>
      <c r="CH79" s="10"/>
      <c r="CI79" s="10"/>
      <c r="CJ79" s="10"/>
      <c r="CK79" s="10"/>
      <c r="CL79" s="10"/>
      <c r="CM79" s="10"/>
      <c r="CN79" s="10"/>
      <c r="CO79" s="10"/>
      <c r="CP79" s="10"/>
      <c r="CQ79" s="10"/>
      <c r="CR79" s="10"/>
      <c r="CS79" s="10"/>
      <c r="CT79" s="10"/>
      <c r="CU79" s="10"/>
      <c r="CV79" s="10"/>
      <c r="CW79" s="10"/>
      <c r="CX79" s="10"/>
      <c r="CY79" s="10"/>
      <c r="CZ79" s="10"/>
      <c r="DA79" s="10"/>
      <c r="DB79" s="10"/>
      <c r="DC79" s="10"/>
      <c r="DD79" s="10"/>
      <c r="DE79" s="10"/>
      <c r="DF79" s="10"/>
      <c r="DG79" s="10"/>
      <c r="DH79" s="10"/>
    </row>
    <row r="80" spans="1:112" ht="15.75" customHeight="1" x14ac:dyDescent="0.3">
      <c r="A80" s="13" t="s">
        <v>205</v>
      </c>
      <c r="B80" s="14">
        <v>45500</v>
      </c>
      <c r="C80" s="13" t="s">
        <v>97</v>
      </c>
      <c r="D80" s="13" t="s">
        <v>98</v>
      </c>
      <c r="E80" s="13" t="s">
        <v>18</v>
      </c>
      <c r="F80" s="13" t="s">
        <v>19</v>
      </c>
      <c r="G80" s="13" t="s">
        <v>20</v>
      </c>
      <c r="H80" s="13">
        <v>2</v>
      </c>
      <c r="I80" s="13">
        <v>249.99</v>
      </c>
      <c r="J80" s="13" t="s">
        <v>21</v>
      </c>
      <c r="K80" s="13" t="s">
        <v>41</v>
      </c>
      <c r="L80" s="13" t="s">
        <v>28</v>
      </c>
      <c r="M80" s="14">
        <v>45164</v>
      </c>
      <c r="N80" s="13">
        <v>499.98</v>
      </c>
      <c r="O80" s="10"/>
      <c r="P80" s="13"/>
      <c r="Q80" s="10"/>
      <c r="R80" s="17">
        <f t="shared" ca="1" si="5"/>
        <v>1008</v>
      </c>
      <c r="S80" s="43">
        <f t="shared" si="3"/>
        <v>45504</v>
      </c>
      <c r="T80" s="44" t="str">
        <f t="shared" si="4"/>
        <v>Nor</v>
      </c>
      <c r="U80" s="13"/>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10"/>
      <c r="BN80" s="10"/>
      <c r="BO80" s="10"/>
      <c r="BP80" s="10"/>
      <c r="BQ80" s="10"/>
      <c r="BR80" s="10"/>
      <c r="BS80" s="10"/>
      <c r="BT80" s="10"/>
      <c r="BU80" s="10"/>
      <c r="BV80" s="10"/>
      <c r="BW80" s="10"/>
      <c r="BX80" s="10"/>
      <c r="BY80" s="10"/>
      <c r="BZ80" s="10"/>
      <c r="CA80" s="10"/>
      <c r="CB80" s="10"/>
      <c r="CC80" s="10"/>
      <c r="CD80" s="10"/>
      <c r="CE80" s="10"/>
      <c r="CF80" s="10"/>
      <c r="CG80" s="10"/>
      <c r="CH80" s="10"/>
      <c r="CI80" s="10"/>
      <c r="CJ80" s="10"/>
      <c r="CK80" s="10"/>
      <c r="CL80" s="10"/>
      <c r="CM80" s="10"/>
      <c r="CN80" s="10"/>
      <c r="CO80" s="10"/>
      <c r="CP80" s="10"/>
      <c r="CQ80" s="10"/>
      <c r="CR80" s="10"/>
      <c r="CS80" s="10"/>
      <c r="CT80" s="10"/>
      <c r="CU80" s="10"/>
      <c r="CV80" s="10"/>
      <c r="CW80" s="10"/>
      <c r="CX80" s="10"/>
      <c r="CY80" s="10"/>
      <c r="CZ80" s="10"/>
      <c r="DA80" s="10"/>
      <c r="DB80" s="10"/>
      <c r="DC80" s="10"/>
      <c r="DD80" s="10"/>
      <c r="DE80" s="10"/>
      <c r="DF80" s="10"/>
      <c r="DG80" s="10"/>
      <c r="DH80" s="10"/>
    </row>
    <row r="81" spans="1:112" ht="15.75" customHeight="1" x14ac:dyDescent="0.3">
      <c r="A81" s="13" t="s">
        <v>206</v>
      </c>
      <c r="B81" s="14">
        <v>45500</v>
      </c>
      <c r="C81" s="13" t="s">
        <v>148</v>
      </c>
      <c r="D81" s="13" t="s">
        <v>149</v>
      </c>
      <c r="E81" s="13" t="s">
        <v>106</v>
      </c>
      <c r="F81" s="13" t="s">
        <v>107</v>
      </c>
      <c r="G81" s="13" t="s">
        <v>47</v>
      </c>
      <c r="H81" s="13">
        <v>1</v>
      </c>
      <c r="I81" s="13">
        <v>299.99</v>
      </c>
      <c r="J81" s="13" t="s">
        <v>21</v>
      </c>
      <c r="K81" s="13" t="s">
        <v>36</v>
      </c>
      <c r="L81" s="13" t="s">
        <v>23</v>
      </c>
      <c r="M81" s="14">
        <v>44982</v>
      </c>
      <c r="N81" s="13">
        <v>299.99</v>
      </c>
      <c r="O81" s="10"/>
      <c r="P81" s="13"/>
      <c r="Q81" s="10"/>
      <c r="R81" s="17">
        <f t="shared" ca="1" si="5"/>
        <v>1190</v>
      </c>
      <c r="S81" s="43">
        <f t="shared" si="3"/>
        <v>45504</v>
      </c>
      <c r="T81" s="44" t="str">
        <f t="shared" si="4"/>
        <v>Sou</v>
      </c>
      <c r="U81" s="13"/>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10"/>
      <c r="BO81" s="10"/>
      <c r="BP81" s="10"/>
      <c r="BQ81" s="10"/>
      <c r="BR81" s="10"/>
      <c r="BS81" s="10"/>
      <c r="BT81" s="10"/>
      <c r="BU81" s="10"/>
      <c r="BV81" s="10"/>
      <c r="BW81" s="10"/>
      <c r="BX81" s="10"/>
      <c r="BY81" s="10"/>
      <c r="BZ81" s="10"/>
      <c r="CA81" s="10"/>
      <c r="CB81" s="10"/>
      <c r="CC81" s="10"/>
      <c r="CD81" s="10"/>
      <c r="CE81" s="10"/>
      <c r="CF81" s="10"/>
      <c r="CG81" s="10"/>
      <c r="CH81" s="10"/>
      <c r="CI81" s="10"/>
      <c r="CJ81" s="10"/>
      <c r="CK81" s="10"/>
      <c r="CL81" s="10"/>
      <c r="CM81" s="10"/>
      <c r="CN81" s="10"/>
      <c r="CO81" s="10"/>
      <c r="CP81" s="10"/>
      <c r="CQ81" s="10"/>
      <c r="CR81" s="10"/>
      <c r="CS81" s="10"/>
      <c r="CT81" s="10"/>
      <c r="CU81" s="10"/>
      <c r="CV81" s="10"/>
      <c r="CW81" s="10"/>
      <c r="CX81" s="10"/>
      <c r="CY81" s="10"/>
      <c r="CZ81" s="10"/>
      <c r="DA81" s="10"/>
      <c r="DB81" s="10"/>
      <c r="DC81" s="10"/>
      <c r="DD81" s="10"/>
      <c r="DE81" s="10"/>
      <c r="DF81" s="10"/>
      <c r="DG81" s="10"/>
      <c r="DH81" s="10"/>
    </row>
    <row r="82" spans="1:112" ht="15.75" customHeight="1" x14ac:dyDescent="0.3">
      <c r="A82" s="13" t="s">
        <v>207</v>
      </c>
      <c r="B82" s="14">
        <v>45501</v>
      </c>
      <c r="C82" s="13" t="s">
        <v>87</v>
      </c>
      <c r="D82" s="13" t="s">
        <v>88</v>
      </c>
      <c r="E82" s="13" t="s">
        <v>118</v>
      </c>
      <c r="F82" s="13" t="s">
        <v>119</v>
      </c>
      <c r="G82" s="13" t="s">
        <v>20</v>
      </c>
      <c r="H82" s="13">
        <v>2</v>
      </c>
      <c r="I82" s="13">
        <v>89.99</v>
      </c>
      <c r="J82" s="13" t="s">
        <v>35</v>
      </c>
      <c r="K82" s="13" t="s">
        <v>36</v>
      </c>
      <c r="L82" s="13" t="s">
        <v>23</v>
      </c>
      <c r="M82" s="14">
        <v>44976</v>
      </c>
      <c r="N82" s="13">
        <v>179.98</v>
      </c>
      <c r="O82" s="10"/>
      <c r="P82" s="13"/>
      <c r="Q82" s="10"/>
      <c r="R82" s="17">
        <f t="shared" ca="1" si="5"/>
        <v>1196</v>
      </c>
      <c r="S82" s="43">
        <f t="shared" si="3"/>
        <v>45504</v>
      </c>
      <c r="T82" s="44" t="str">
        <f t="shared" si="4"/>
        <v>Sou</v>
      </c>
      <c r="U82" s="13"/>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c r="BL82" s="10"/>
      <c r="BM82" s="10"/>
      <c r="BN82" s="10"/>
      <c r="BO82" s="10"/>
      <c r="BP82" s="10"/>
      <c r="BQ82" s="10"/>
      <c r="BR82" s="10"/>
      <c r="BS82" s="10"/>
      <c r="BT82" s="10"/>
      <c r="BU82" s="10"/>
      <c r="BV82" s="10"/>
      <c r="BW82" s="10"/>
      <c r="BX82" s="10"/>
      <c r="BY82" s="10"/>
      <c r="BZ82" s="10"/>
      <c r="CA82" s="10"/>
      <c r="CB82" s="10"/>
      <c r="CC82" s="10"/>
      <c r="CD82" s="10"/>
      <c r="CE82" s="10"/>
      <c r="CF82" s="10"/>
      <c r="CG82" s="10"/>
      <c r="CH82" s="10"/>
      <c r="CI82" s="10"/>
      <c r="CJ82" s="10"/>
      <c r="CK82" s="10"/>
      <c r="CL82" s="10"/>
      <c r="CM82" s="10"/>
      <c r="CN82" s="10"/>
      <c r="CO82" s="10"/>
      <c r="CP82" s="10"/>
      <c r="CQ82" s="10"/>
      <c r="CR82" s="10"/>
      <c r="CS82" s="10"/>
      <c r="CT82" s="10"/>
      <c r="CU82" s="10"/>
      <c r="CV82" s="10"/>
      <c r="CW82" s="10"/>
      <c r="CX82" s="10"/>
      <c r="CY82" s="10"/>
      <c r="CZ82" s="10"/>
      <c r="DA82" s="10"/>
      <c r="DB82" s="10"/>
      <c r="DC82" s="10"/>
      <c r="DD82" s="10"/>
      <c r="DE82" s="10"/>
      <c r="DF82" s="10"/>
      <c r="DG82" s="10"/>
      <c r="DH82" s="10"/>
    </row>
    <row r="83" spans="1:112" ht="15.75" customHeight="1" x14ac:dyDescent="0.3">
      <c r="A83" s="13" t="s">
        <v>208</v>
      </c>
      <c r="B83" s="14">
        <v>45501</v>
      </c>
      <c r="C83" s="13" t="s">
        <v>148</v>
      </c>
      <c r="D83" s="13" t="s">
        <v>149</v>
      </c>
      <c r="E83" s="13" t="s">
        <v>106</v>
      </c>
      <c r="F83" s="13" t="s">
        <v>107</v>
      </c>
      <c r="G83" s="13" t="s">
        <v>47</v>
      </c>
      <c r="H83" s="13">
        <v>3</v>
      </c>
      <c r="I83" s="13">
        <v>299.99</v>
      </c>
      <c r="J83" s="13" t="s">
        <v>21</v>
      </c>
      <c r="K83" s="13" t="s">
        <v>22</v>
      </c>
      <c r="L83" s="13" t="s">
        <v>23</v>
      </c>
      <c r="M83" s="14">
        <v>44732</v>
      </c>
      <c r="N83" s="13">
        <v>899.97</v>
      </c>
      <c r="O83" s="10"/>
      <c r="P83" s="13"/>
      <c r="Q83" s="10"/>
      <c r="R83" s="17">
        <f t="shared" ca="1" si="5"/>
        <v>1440</v>
      </c>
      <c r="S83" s="43">
        <f t="shared" si="3"/>
        <v>45504</v>
      </c>
      <c r="T83" s="44" t="str">
        <f t="shared" si="4"/>
        <v>Cen</v>
      </c>
      <c r="U83" s="13"/>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c r="BO83" s="10"/>
      <c r="BP83" s="10"/>
      <c r="BQ83" s="10"/>
      <c r="BR83" s="10"/>
      <c r="BS83" s="10"/>
      <c r="BT83" s="10"/>
      <c r="BU83" s="10"/>
      <c r="BV83" s="10"/>
      <c r="BW83" s="10"/>
      <c r="BX83" s="10"/>
      <c r="BY83" s="10"/>
      <c r="BZ83" s="10"/>
      <c r="CA83" s="10"/>
      <c r="CB83" s="10"/>
      <c r="CC83" s="10"/>
      <c r="CD83" s="10"/>
      <c r="CE83" s="10"/>
      <c r="CF83" s="10"/>
      <c r="CG83" s="10"/>
      <c r="CH83" s="10"/>
      <c r="CI83" s="10"/>
      <c r="CJ83" s="10"/>
      <c r="CK83" s="10"/>
      <c r="CL83" s="10"/>
      <c r="CM83" s="10"/>
      <c r="CN83" s="10"/>
      <c r="CO83" s="10"/>
      <c r="CP83" s="10"/>
      <c r="CQ83" s="10"/>
      <c r="CR83" s="10"/>
      <c r="CS83" s="10"/>
      <c r="CT83" s="10"/>
      <c r="CU83" s="10"/>
      <c r="CV83" s="10"/>
      <c r="CW83" s="10"/>
      <c r="CX83" s="10"/>
      <c r="CY83" s="10"/>
      <c r="CZ83" s="10"/>
      <c r="DA83" s="10"/>
      <c r="DB83" s="10"/>
      <c r="DC83" s="10"/>
      <c r="DD83" s="10"/>
      <c r="DE83" s="10"/>
      <c r="DF83" s="10"/>
      <c r="DG83" s="10"/>
      <c r="DH83" s="10"/>
    </row>
    <row r="84" spans="1:112" ht="15.75" customHeight="1" x14ac:dyDescent="0.3">
      <c r="A84" s="13" t="s">
        <v>209</v>
      </c>
      <c r="B84" s="14">
        <v>45503</v>
      </c>
      <c r="C84" s="13" t="s">
        <v>87</v>
      </c>
      <c r="D84" s="13" t="s">
        <v>88</v>
      </c>
      <c r="E84" s="13" t="s">
        <v>81</v>
      </c>
      <c r="F84" s="13" t="s">
        <v>82</v>
      </c>
      <c r="G84" s="13" t="s">
        <v>20</v>
      </c>
      <c r="H84" s="13">
        <v>2</v>
      </c>
      <c r="I84" s="13">
        <v>699.99</v>
      </c>
      <c r="J84" s="13" t="s">
        <v>27</v>
      </c>
      <c r="K84" s="13" t="s">
        <v>41</v>
      </c>
      <c r="L84" s="13" t="s">
        <v>28</v>
      </c>
      <c r="M84" s="14">
        <v>44999</v>
      </c>
      <c r="N84" s="13">
        <v>1399.98</v>
      </c>
      <c r="O84" s="10"/>
      <c r="P84" s="13"/>
      <c r="Q84" s="10"/>
      <c r="R84" s="17">
        <f t="shared" ca="1" si="5"/>
        <v>1173</v>
      </c>
      <c r="S84" s="43">
        <f t="shared" si="3"/>
        <v>45504</v>
      </c>
      <c r="T84" s="44" t="str">
        <f t="shared" si="4"/>
        <v>Nor</v>
      </c>
      <c r="U84" s="13"/>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c r="BM84" s="10"/>
      <c r="BN84" s="10"/>
      <c r="BO84" s="10"/>
      <c r="BP84" s="10"/>
      <c r="BQ84" s="10"/>
      <c r="BR84" s="10"/>
      <c r="BS84" s="10"/>
      <c r="BT84" s="10"/>
      <c r="BU84" s="10"/>
      <c r="BV84" s="10"/>
      <c r="BW84" s="10"/>
      <c r="BX84" s="10"/>
      <c r="BY84" s="10"/>
      <c r="BZ84" s="10"/>
      <c r="CA84" s="10"/>
      <c r="CB84" s="10"/>
      <c r="CC84" s="10"/>
      <c r="CD84" s="10"/>
      <c r="CE84" s="10"/>
      <c r="CF84" s="10"/>
      <c r="CG84" s="10"/>
      <c r="CH84" s="10"/>
      <c r="CI84" s="10"/>
      <c r="CJ84" s="10"/>
      <c r="CK84" s="10"/>
      <c r="CL84" s="10"/>
      <c r="CM84" s="10"/>
      <c r="CN84" s="10"/>
      <c r="CO84" s="10"/>
      <c r="CP84" s="10"/>
      <c r="CQ84" s="10"/>
      <c r="CR84" s="10"/>
      <c r="CS84" s="10"/>
      <c r="CT84" s="10"/>
      <c r="CU84" s="10"/>
      <c r="CV84" s="10"/>
      <c r="CW84" s="10"/>
      <c r="CX84" s="10"/>
      <c r="CY84" s="10"/>
      <c r="CZ84" s="10"/>
      <c r="DA84" s="10"/>
      <c r="DB84" s="10"/>
      <c r="DC84" s="10"/>
      <c r="DD84" s="10"/>
      <c r="DE84" s="10"/>
      <c r="DF84" s="10"/>
      <c r="DG84" s="10"/>
      <c r="DH84" s="10"/>
    </row>
    <row r="85" spans="1:112" ht="15.75" customHeight="1" x14ac:dyDescent="0.3">
      <c r="A85" s="13" t="s">
        <v>210</v>
      </c>
      <c r="B85" s="14">
        <v>45504</v>
      </c>
      <c r="C85" s="13" t="s">
        <v>121</v>
      </c>
      <c r="D85" s="13" t="s">
        <v>122</v>
      </c>
      <c r="E85" s="13" t="s">
        <v>62</v>
      </c>
      <c r="F85" s="13" t="s">
        <v>63</v>
      </c>
      <c r="G85" s="13" t="s">
        <v>20</v>
      </c>
      <c r="H85" s="13">
        <v>4</v>
      </c>
      <c r="I85" s="13">
        <v>899.99</v>
      </c>
      <c r="J85" s="13" t="s">
        <v>58</v>
      </c>
      <c r="K85" s="13" t="s">
        <v>36</v>
      </c>
      <c r="L85" s="13" t="s">
        <v>37</v>
      </c>
      <c r="M85" s="14">
        <v>44523</v>
      </c>
      <c r="N85" s="13">
        <v>3599.96</v>
      </c>
      <c r="O85" s="10"/>
      <c r="P85" s="13"/>
      <c r="Q85" s="10"/>
      <c r="R85" s="17">
        <f t="shared" ca="1" si="5"/>
        <v>1649</v>
      </c>
      <c r="S85" s="43">
        <f t="shared" si="3"/>
        <v>45504</v>
      </c>
      <c r="T85" s="44" t="str">
        <f t="shared" si="4"/>
        <v>Sou</v>
      </c>
      <c r="U85" s="13"/>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10"/>
      <c r="BN85" s="10"/>
      <c r="BO85" s="10"/>
      <c r="BP85" s="10"/>
      <c r="BQ85" s="10"/>
      <c r="BR85" s="10"/>
      <c r="BS85" s="10"/>
      <c r="BT85" s="10"/>
      <c r="BU85" s="10"/>
      <c r="BV85" s="10"/>
      <c r="BW85" s="10"/>
      <c r="BX85" s="10"/>
      <c r="BY85" s="10"/>
      <c r="BZ85" s="10"/>
      <c r="CA85" s="10"/>
      <c r="CB85" s="10"/>
      <c r="CC85" s="10"/>
      <c r="CD85" s="10"/>
      <c r="CE85" s="10"/>
      <c r="CF85" s="10"/>
      <c r="CG85" s="10"/>
      <c r="CH85" s="10"/>
      <c r="CI85" s="10"/>
      <c r="CJ85" s="10"/>
      <c r="CK85" s="10"/>
      <c r="CL85" s="10"/>
      <c r="CM85" s="10"/>
      <c r="CN85" s="10"/>
      <c r="CO85" s="10"/>
      <c r="CP85" s="10"/>
      <c r="CQ85" s="10"/>
      <c r="CR85" s="10"/>
      <c r="CS85" s="10"/>
      <c r="CT85" s="10"/>
      <c r="CU85" s="10"/>
      <c r="CV85" s="10"/>
      <c r="CW85" s="10"/>
      <c r="CX85" s="10"/>
      <c r="CY85" s="10"/>
      <c r="CZ85" s="10"/>
      <c r="DA85" s="10"/>
      <c r="DB85" s="10"/>
      <c r="DC85" s="10"/>
      <c r="DD85" s="10"/>
      <c r="DE85" s="10"/>
      <c r="DF85" s="10"/>
      <c r="DG85" s="10"/>
      <c r="DH85" s="10"/>
    </row>
    <row r="86" spans="1:112" ht="15.75" customHeight="1" x14ac:dyDescent="0.3">
      <c r="A86" s="13" t="s">
        <v>211</v>
      </c>
      <c r="B86" s="14">
        <v>45509</v>
      </c>
      <c r="C86" s="13" t="s">
        <v>212</v>
      </c>
      <c r="D86" s="13" t="s">
        <v>213</v>
      </c>
      <c r="E86" s="13" t="s">
        <v>45</v>
      </c>
      <c r="F86" s="13" t="s">
        <v>46</v>
      </c>
      <c r="G86" s="13" t="s">
        <v>47</v>
      </c>
      <c r="H86" s="13">
        <v>2</v>
      </c>
      <c r="I86" s="13">
        <v>149.99</v>
      </c>
      <c r="J86" s="13" t="s">
        <v>27</v>
      </c>
      <c r="K86" s="13" t="s">
        <v>51</v>
      </c>
      <c r="L86" s="13" t="s">
        <v>23</v>
      </c>
      <c r="M86" s="14">
        <v>44542</v>
      </c>
      <c r="N86" s="13">
        <v>299.98</v>
      </c>
      <c r="O86" s="10"/>
      <c r="P86" s="13"/>
      <c r="Q86" s="10"/>
      <c r="R86" s="17">
        <f t="shared" ca="1" si="5"/>
        <v>1630</v>
      </c>
      <c r="S86" s="43">
        <f t="shared" si="3"/>
        <v>45535</v>
      </c>
      <c r="T86" s="44" t="str">
        <f t="shared" si="4"/>
        <v>Wes</v>
      </c>
      <c r="U86" s="13"/>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0"/>
      <c r="BL86" s="10"/>
      <c r="BM86" s="10"/>
      <c r="BN86" s="10"/>
      <c r="BO86" s="10"/>
      <c r="BP86" s="10"/>
      <c r="BQ86" s="10"/>
      <c r="BR86" s="10"/>
      <c r="BS86" s="10"/>
      <c r="BT86" s="10"/>
      <c r="BU86" s="10"/>
      <c r="BV86" s="10"/>
      <c r="BW86" s="10"/>
      <c r="BX86" s="10"/>
      <c r="BY86" s="10"/>
      <c r="BZ86" s="10"/>
      <c r="CA86" s="10"/>
      <c r="CB86" s="10"/>
      <c r="CC86" s="10"/>
      <c r="CD86" s="10"/>
      <c r="CE86" s="10"/>
      <c r="CF86" s="10"/>
      <c r="CG86" s="10"/>
      <c r="CH86" s="10"/>
      <c r="CI86" s="10"/>
      <c r="CJ86" s="10"/>
      <c r="CK86" s="10"/>
      <c r="CL86" s="10"/>
      <c r="CM86" s="10"/>
      <c r="CN86" s="10"/>
      <c r="CO86" s="10"/>
      <c r="CP86" s="10"/>
      <c r="CQ86" s="10"/>
      <c r="CR86" s="10"/>
      <c r="CS86" s="10"/>
      <c r="CT86" s="10"/>
      <c r="CU86" s="10"/>
      <c r="CV86" s="10"/>
      <c r="CW86" s="10"/>
      <c r="CX86" s="10"/>
      <c r="CY86" s="10"/>
      <c r="CZ86" s="10"/>
      <c r="DA86" s="10"/>
      <c r="DB86" s="10"/>
      <c r="DC86" s="10"/>
      <c r="DD86" s="10"/>
      <c r="DE86" s="10"/>
      <c r="DF86" s="10"/>
      <c r="DG86" s="10"/>
      <c r="DH86" s="10"/>
    </row>
    <row r="87" spans="1:112" ht="15.75" customHeight="1" x14ac:dyDescent="0.3">
      <c r="A87" s="13" t="s">
        <v>214</v>
      </c>
      <c r="B87" s="14">
        <v>45510</v>
      </c>
      <c r="C87" s="13" t="s">
        <v>103</v>
      </c>
      <c r="D87" s="13" t="s">
        <v>104</v>
      </c>
      <c r="E87" s="13" t="s">
        <v>45</v>
      </c>
      <c r="F87" s="13" t="s">
        <v>46</v>
      </c>
      <c r="G87" s="13" t="s">
        <v>47</v>
      </c>
      <c r="H87" s="13">
        <v>2</v>
      </c>
      <c r="I87" s="13">
        <v>149.99</v>
      </c>
      <c r="J87" s="13" t="s">
        <v>58</v>
      </c>
      <c r="K87" s="13" t="s">
        <v>64</v>
      </c>
      <c r="L87" s="13" t="s">
        <v>37</v>
      </c>
      <c r="M87" s="14">
        <v>44667</v>
      </c>
      <c r="N87" s="13">
        <v>299.98</v>
      </c>
      <c r="O87" s="10"/>
      <c r="P87" s="13"/>
      <c r="Q87" s="10"/>
      <c r="R87" s="17">
        <f t="shared" ca="1" si="5"/>
        <v>1505</v>
      </c>
      <c r="S87" s="43">
        <f t="shared" si="3"/>
        <v>45535</v>
      </c>
      <c r="T87" s="44" t="str">
        <f t="shared" si="4"/>
        <v>Eas</v>
      </c>
      <c r="U87" s="13"/>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0"/>
      <c r="BL87" s="10"/>
      <c r="BM87" s="10"/>
      <c r="BN87" s="10"/>
      <c r="BO87" s="10"/>
      <c r="BP87" s="10"/>
      <c r="BQ87" s="10"/>
      <c r="BR87" s="10"/>
      <c r="BS87" s="10"/>
      <c r="BT87" s="10"/>
      <c r="BU87" s="10"/>
      <c r="BV87" s="10"/>
      <c r="BW87" s="10"/>
      <c r="BX87" s="10"/>
      <c r="BY87" s="10"/>
      <c r="BZ87" s="10"/>
      <c r="CA87" s="10"/>
      <c r="CB87" s="10"/>
      <c r="CC87" s="10"/>
      <c r="CD87" s="10"/>
      <c r="CE87" s="10"/>
      <c r="CF87" s="10"/>
      <c r="CG87" s="10"/>
      <c r="CH87" s="10"/>
      <c r="CI87" s="10"/>
      <c r="CJ87" s="10"/>
      <c r="CK87" s="10"/>
      <c r="CL87" s="10"/>
      <c r="CM87" s="10"/>
      <c r="CN87" s="10"/>
      <c r="CO87" s="10"/>
      <c r="CP87" s="10"/>
      <c r="CQ87" s="10"/>
      <c r="CR87" s="10"/>
      <c r="CS87" s="10"/>
      <c r="CT87" s="10"/>
      <c r="CU87" s="10"/>
      <c r="CV87" s="10"/>
      <c r="CW87" s="10"/>
      <c r="CX87" s="10"/>
      <c r="CY87" s="10"/>
      <c r="CZ87" s="10"/>
      <c r="DA87" s="10"/>
      <c r="DB87" s="10"/>
      <c r="DC87" s="10"/>
      <c r="DD87" s="10"/>
      <c r="DE87" s="10"/>
      <c r="DF87" s="10"/>
      <c r="DG87" s="10"/>
      <c r="DH87" s="10"/>
    </row>
    <row r="88" spans="1:112" ht="15.75" customHeight="1" x14ac:dyDescent="0.3">
      <c r="A88" s="13" t="s">
        <v>215</v>
      </c>
      <c r="B88" s="14">
        <v>45513</v>
      </c>
      <c r="C88" s="13" t="s">
        <v>90</v>
      </c>
      <c r="D88" s="13" t="s">
        <v>91</v>
      </c>
      <c r="E88" s="13" t="s">
        <v>118</v>
      </c>
      <c r="F88" s="13" t="s">
        <v>119</v>
      </c>
      <c r="G88" s="13" t="s">
        <v>20</v>
      </c>
      <c r="H88" s="13">
        <v>1</v>
      </c>
      <c r="I88" s="13">
        <v>89.99</v>
      </c>
      <c r="J88" s="13" t="s">
        <v>27</v>
      </c>
      <c r="K88" s="13" t="s">
        <v>41</v>
      </c>
      <c r="L88" s="13" t="s">
        <v>37</v>
      </c>
      <c r="M88" s="14">
        <v>45393</v>
      </c>
      <c r="N88" s="13">
        <v>89.99</v>
      </c>
      <c r="O88" s="10"/>
      <c r="P88" s="13"/>
      <c r="Q88" s="10"/>
      <c r="R88" s="17">
        <f t="shared" ca="1" si="5"/>
        <v>779</v>
      </c>
      <c r="S88" s="43">
        <f t="shared" si="3"/>
        <v>45535</v>
      </c>
      <c r="T88" s="44" t="str">
        <f t="shared" si="4"/>
        <v>Nor</v>
      </c>
      <c r="U88" s="13"/>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10"/>
      <c r="BJ88" s="10"/>
      <c r="BK88" s="10"/>
      <c r="BL88" s="10"/>
      <c r="BM88" s="10"/>
      <c r="BN88" s="10"/>
      <c r="BO88" s="10"/>
      <c r="BP88" s="10"/>
      <c r="BQ88" s="10"/>
      <c r="BR88" s="10"/>
      <c r="BS88" s="10"/>
      <c r="BT88" s="10"/>
      <c r="BU88" s="10"/>
      <c r="BV88" s="10"/>
      <c r="BW88" s="10"/>
      <c r="BX88" s="10"/>
      <c r="BY88" s="10"/>
      <c r="BZ88" s="10"/>
      <c r="CA88" s="10"/>
      <c r="CB88" s="10"/>
      <c r="CC88" s="10"/>
      <c r="CD88" s="10"/>
      <c r="CE88" s="10"/>
      <c r="CF88" s="10"/>
      <c r="CG88" s="10"/>
      <c r="CH88" s="10"/>
      <c r="CI88" s="10"/>
      <c r="CJ88" s="10"/>
      <c r="CK88" s="10"/>
      <c r="CL88" s="10"/>
      <c r="CM88" s="10"/>
      <c r="CN88" s="10"/>
      <c r="CO88" s="10"/>
      <c r="CP88" s="10"/>
      <c r="CQ88" s="10"/>
      <c r="CR88" s="10"/>
      <c r="CS88" s="10"/>
      <c r="CT88" s="10"/>
      <c r="CU88" s="10"/>
      <c r="CV88" s="10"/>
      <c r="CW88" s="10"/>
      <c r="CX88" s="10"/>
      <c r="CY88" s="10"/>
      <c r="CZ88" s="10"/>
      <c r="DA88" s="10"/>
      <c r="DB88" s="10"/>
      <c r="DC88" s="10"/>
      <c r="DD88" s="10"/>
      <c r="DE88" s="10"/>
      <c r="DF88" s="10"/>
      <c r="DG88" s="10"/>
      <c r="DH88" s="10"/>
    </row>
    <row r="89" spans="1:112" ht="15.75" customHeight="1" x14ac:dyDescent="0.3">
      <c r="A89" s="13" t="s">
        <v>216</v>
      </c>
      <c r="B89" s="14">
        <v>45515</v>
      </c>
      <c r="C89" s="13" t="s">
        <v>87</v>
      </c>
      <c r="D89" s="13" t="s">
        <v>88</v>
      </c>
      <c r="E89" s="13" t="s">
        <v>106</v>
      </c>
      <c r="F89" s="13" t="s">
        <v>107</v>
      </c>
      <c r="G89" s="13" t="s">
        <v>47</v>
      </c>
      <c r="H89" s="13">
        <v>5</v>
      </c>
      <c r="I89" s="13">
        <v>299.99</v>
      </c>
      <c r="J89" s="13" t="s">
        <v>27</v>
      </c>
      <c r="K89" s="13" t="s">
        <v>41</v>
      </c>
      <c r="L89" s="13" t="s">
        <v>23</v>
      </c>
      <c r="M89" s="14">
        <v>44965</v>
      </c>
      <c r="N89" s="13">
        <v>1499.95</v>
      </c>
      <c r="O89" s="10"/>
      <c r="P89" s="13"/>
      <c r="Q89" s="10"/>
      <c r="R89" s="17">
        <f t="shared" ca="1" si="5"/>
        <v>1207</v>
      </c>
      <c r="S89" s="43">
        <f t="shared" si="3"/>
        <v>45535</v>
      </c>
      <c r="T89" s="44" t="str">
        <f t="shared" si="4"/>
        <v>Nor</v>
      </c>
      <c r="U89" s="13"/>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10"/>
      <c r="BM89" s="10"/>
      <c r="BN89" s="10"/>
      <c r="BO89" s="10"/>
      <c r="BP89" s="10"/>
      <c r="BQ89" s="10"/>
      <c r="BR89" s="10"/>
      <c r="BS89" s="10"/>
      <c r="BT89" s="10"/>
      <c r="BU89" s="10"/>
      <c r="BV89" s="10"/>
      <c r="BW89" s="10"/>
      <c r="BX89" s="10"/>
      <c r="BY89" s="10"/>
      <c r="BZ89" s="10"/>
      <c r="CA89" s="10"/>
      <c r="CB89" s="10"/>
      <c r="CC89" s="10"/>
      <c r="CD89" s="10"/>
      <c r="CE89" s="10"/>
      <c r="CF89" s="10"/>
      <c r="CG89" s="10"/>
      <c r="CH89" s="10"/>
      <c r="CI89" s="10"/>
      <c r="CJ89" s="10"/>
      <c r="CK89" s="10"/>
      <c r="CL89" s="10"/>
      <c r="CM89" s="10"/>
      <c r="CN89" s="10"/>
      <c r="CO89" s="10"/>
      <c r="CP89" s="10"/>
      <c r="CQ89" s="10"/>
      <c r="CR89" s="10"/>
      <c r="CS89" s="10"/>
      <c r="CT89" s="10"/>
      <c r="CU89" s="10"/>
      <c r="CV89" s="10"/>
      <c r="CW89" s="10"/>
      <c r="CX89" s="10"/>
      <c r="CY89" s="10"/>
      <c r="CZ89" s="10"/>
      <c r="DA89" s="10"/>
      <c r="DB89" s="10"/>
      <c r="DC89" s="10"/>
      <c r="DD89" s="10"/>
      <c r="DE89" s="10"/>
      <c r="DF89" s="10"/>
      <c r="DG89" s="10"/>
      <c r="DH89" s="10"/>
    </row>
    <row r="90" spans="1:112" ht="15.75" customHeight="1" x14ac:dyDescent="0.3">
      <c r="A90" s="13" t="s">
        <v>217</v>
      </c>
      <c r="B90" s="14">
        <v>45517</v>
      </c>
      <c r="C90" s="13" t="s">
        <v>183</v>
      </c>
      <c r="D90" s="13" t="s">
        <v>184</v>
      </c>
      <c r="E90" s="13" t="s">
        <v>53</v>
      </c>
      <c r="F90" s="13" t="s">
        <v>54</v>
      </c>
      <c r="G90" s="13" t="s">
        <v>20</v>
      </c>
      <c r="H90" s="13">
        <v>4</v>
      </c>
      <c r="I90" s="13">
        <v>149.99</v>
      </c>
      <c r="J90" s="13" t="s">
        <v>58</v>
      </c>
      <c r="K90" s="13" t="s">
        <v>36</v>
      </c>
      <c r="L90" s="13" t="s">
        <v>28</v>
      </c>
      <c r="M90" s="14">
        <v>44820</v>
      </c>
      <c r="N90" s="13">
        <v>599.96</v>
      </c>
      <c r="O90" s="10"/>
      <c r="P90" s="13"/>
      <c r="Q90" s="10"/>
      <c r="R90" s="17">
        <f t="shared" ca="1" si="5"/>
        <v>1352</v>
      </c>
      <c r="S90" s="43">
        <f t="shared" si="3"/>
        <v>45535</v>
      </c>
      <c r="T90" s="44" t="str">
        <f t="shared" si="4"/>
        <v>Sou</v>
      </c>
      <c r="U90" s="13"/>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c r="BE90" s="10"/>
      <c r="BF90" s="10"/>
      <c r="BG90" s="10"/>
      <c r="BH90" s="10"/>
      <c r="BI90" s="10"/>
      <c r="BJ90" s="10"/>
      <c r="BK90" s="10"/>
      <c r="BL90" s="10"/>
      <c r="BM90" s="10"/>
      <c r="BN90" s="10"/>
      <c r="BO90" s="10"/>
      <c r="BP90" s="10"/>
      <c r="BQ90" s="10"/>
      <c r="BR90" s="10"/>
      <c r="BS90" s="10"/>
      <c r="BT90" s="10"/>
      <c r="BU90" s="10"/>
      <c r="BV90" s="10"/>
      <c r="BW90" s="10"/>
      <c r="BX90" s="10"/>
      <c r="BY90" s="10"/>
      <c r="BZ90" s="10"/>
      <c r="CA90" s="10"/>
      <c r="CB90" s="10"/>
      <c r="CC90" s="10"/>
      <c r="CD90" s="10"/>
      <c r="CE90" s="10"/>
      <c r="CF90" s="10"/>
      <c r="CG90" s="10"/>
      <c r="CH90" s="10"/>
      <c r="CI90" s="10"/>
      <c r="CJ90" s="10"/>
      <c r="CK90" s="10"/>
      <c r="CL90" s="10"/>
      <c r="CM90" s="10"/>
      <c r="CN90" s="10"/>
      <c r="CO90" s="10"/>
      <c r="CP90" s="10"/>
      <c r="CQ90" s="10"/>
      <c r="CR90" s="10"/>
      <c r="CS90" s="10"/>
      <c r="CT90" s="10"/>
      <c r="CU90" s="10"/>
      <c r="CV90" s="10"/>
      <c r="CW90" s="10"/>
      <c r="CX90" s="10"/>
      <c r="CY90" s="10"/>
      <c r="CZ90" s="10"/>
      <c r="DA90" s="10"/>
      <c r="DB90" s="10"/>
      <c r="DC90" s="10"/>
      <c r="DD90" s="10"/>
      <c r="DE90" s="10"/>
      <c r="DF90" s="10"/>
      <c r="DG90" s="10"/>
      <c r="DH90" s="10"/>
    </row>
    <row r="91" spans="1:112" ht="15.75" customHeight="1" x14ac:dyDescent="0.3">
      <c r="A91" s="13" t="s">
        <v>218</v>
      </c>
      <c r="B91" s="14">
        <v>45517</v>
      </c>
      <c r="C91" s="13" t="s">
        <v>186</v>
      </c>
      <c r="D91" s="13" t="s">
        <v>187</v>
      </c>
      <c r="E91" s="13" t="s">
        <v>18</v>
      </c>
      <c r="F91" s="13" t="s">
        <v>19</v>
      </c>
      <c r="G91" s="13" t="s">
        <v>20</v>
      </c>
      <c r="H91" s="13">
        <v>5</v>
      </c>
      <c r="I91" s="13">
        <v>249.99</v>
      </c>
      <c r="J91" s="13" t="s">
        <v>35</v>
      </c>
      <c r="K91" s="13" t="s">
        <v>64</v>
      </c>
      <c r="L91" s="13" t="s">
        <v>28</v>
      </c>
      <c r="M91" s="14">
        <v>44782</v>
      </c>
      <c r="N91" s="13">
        <v>1249.95</v>
      </c>
      <c r="O91" s="10"/>
      <c r="P91" s="13"/>
      <c r="Q91" s="10"/>
      <c r="R91" s="17">
        <f t="shared" ca="1" si="5"/>
        <v>1390</v>
      </c>
      <c r="S91" s="43">
        <f t="shared" si="3"/>
        <v>45535</v>
      </c>
      <c r="T91" s="44" t="str">
        <f t="shared" si="4"/>
        <v>Eas</v>
      </c>
      <c r="U91" s="13"/>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0"/>
      <c r="BL91" s="10"/>
      <c r="BM91" s="10"/>
      <c r="BN91" s="10"/>
      <c r="BO91" s="10"/>
      <c r="BP91" s="10"/>
      <c r="BQ91" s="10"/>
      <c r="BR91" s="10"/>
      <c r="BS91" s="10"/>
      <c r="BT91" s="10"/>
      <c r="BU91" s="10"/>
      <c r="BV91" s="10"/>
      <c r="BW91" s="10"/>
      <c r="BX91" s="10"/>
      <c r="BY91" s="10"/>
      <c r="BZ91" s="10"/>
      <c r="CA91" s="10"/>
      <c r="CB91" s="10"/>
      <c r="CC91" s="10"/>
      <c r="CD91" s="10"/>
      <c r="CE91" s="10"/>
      <c r="CF91" s="10"/>
      <c r="CG91" s="10"/>
      <c r="CH91" s="10"/>
      <c r="CI91" s="10"/>
      <c r="CJ91" s="10"/>
      <c r="CK91" s="10"/>
      <c r="CL91" s="10"/>
      <c r="CM91" s="10"/>
      <c r="CN91" s="10"/>
      <c r="CO91" s="10"/>
      <c r="CP91" s="10"/>
      <c r="CQ91" s="10"/>
      <c r="CR91" s="10"/>
      <c r="CS91" s="10"/>
      <c r="CT91" s="10"/>
      <c r="CU91" s="10"/>
      <c r="CV91" s="10"/>
      <c r="CW91" s="10"/>
      <c r="CX91" s="10"/>
      <c r="CY91" s="10"/>
      <c r="CZ91" s="10"/>
      <c r="DA91" s="10"/>
      <c r="DB91" s="10"/>
      <c r="DC91" s="10"/>
      <c r="DD91" s="10"/>
      <c r="DE91" s="10"/>
      <c r="DF91" s="10"/>
      <c r="DG91" s="10"/>
      <c r="DH91" s="10"/>
    </row>
    <row r="92" spans="1:112" ht="15.75" customHeight="1" x14ac:dyDescent="0.3">
      <c r="A92" s="13" t="s">
        <v>219</v>
      </c>
      <c r="B92" s="14">
        <v>45517</v>
      </c>
      <c r="C92" s="13" t="s">
        <v>66</v>
      </c>
      <c r="D92" s="13" t="s">
        <v>67</v>
      </c>
      <c r="E92" s="13" t="s">
        <v>18</v>
      </c>
      <c r="F92" s="13" t="s">
        <v>19</v>
      </c>
      <c r="G92" s="13" t="s">
        <v>20</v>
      </c>
      <c r="H92" s="13">
        <v>3</v>
      </c>
      <c r="I92" s="13">
        <v>249.99</v>
      </c>
      <c r="J92" s="13" t="s">
        <v>35</v>
      </c>
      <c r="K92" s="13" t="s">
        <v>41</v>
      </c>
      <c r="L92" s="13" t="s">
        <v>28</v>
      </c>
      <c r="M92" s="14">
        <v>44465</v>
      </c>
      <c r="N92" s="13">
        <v>749.97</v>
      </c>
      <c r="O92" s="10"/>
      <c r="P92" s="13"/>
      <c r="Q92" s="10"/>
      <c r="R92" s="17">
        <f t="shared" ca="1" si="5"/>
        <v>1707</v>
      </c>
      <c r="S92" s="43">
        <f t="shared" si="3"/>
        <v>45535</v>
      </c>
      <c r="T92" s="44" t="str">
        <f t="shared" si="4"/>
        <v>Nor</v>
      </c>
      <c r="U92" s="13"/>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c r="BK92" s="10"/>
      <c r="BL92" s="10"/>
      <c r="BM92" s="10"/>
      <c r="BN92" s="10"/>
      <c r="BO92" s="10"/>
      <c r="BP92" s="10"/>
      <c r="BQ92" s="10"/>
      <c r="BR92" s="10"/>
      <c r="BS92" s="10"/>
      <c r="BT92" s="10"/>
      <c r="BU92" s="10"/>
      <c r="BV92" s="10"/>
      <c r="BW92" s="10"/>
      <c r="BX92" s="10"/>
      <c r="BY92" s="10"/>
      <c r="BZ92" s="10"/>
      <c r="CA92" s="10"/>
      <c r="CB92" s="10"/>
      <c r="CC92" s="10"/>
      <c r="CD92" s="10"/>
      <c r="CE92" s="10"/>
      <c r="CF92" s="10"/>
      <c r="CG92" s="10"/>
      <c r="CH92" s="10"/>
      <c r="CI92" s="10"/>
      <c r="CJ92" s="10"/>
      <c r="CK92" s="10"/>
      <c r="CL92" s="10"/>
      <c r="CM92" s="10"/>
      <c r="CN92" s="10"/>
      <c r="CO92" s="10"/>
      <c r="CP92" s="10"/>
      <c r="CQ92" s="10"/>
      <c r="CR92" s="10"/>
      <c r="CS92" s="10"/>
      <c r="CT92" s="10"/>
      <c r="CU92" s="10"/>
      <c r="CV92" s="10"/>
      <c r="CW92" s="10"/>
      <c r="CX92" s="10"/>
      <c r="CY92" s="10"/>
      <c r="CZ92" s="10"/>
      <c r="DA92" s="10"/>
      <c r="DB92" s="10"/>
      <c r="DC92" s="10"/>
      <c r="DD92" s="10"/>
      <c r="DE92" s="10"/>
      <c r="DF92" s="10"/>
      <c r="DG92" s="10"/>
      <c r="DH92" s="10"/>
    </row>
    <row r="93" spans="1:112" ht="15.75" customHeight="1" x14ac:dyDescent="0.3">
      <c r="A93" s="13" t="s">
        <v>220</v>
      </c>
      <c r="B93" s="14">
        <v>45517</v>
      </c>
      <c r="C93" s="13" t="s">
        <v>39</v>
      </c>
      <c r="D93" s="13" t="s">
        <v>40</v>
      </c>
      <c r="E93" s="13" t="s">
        <v>127</v>
      </c>
      <c r="F93" s="13" t="s">
        <v>128</v>
      </c>
      <c r="G93" s="13" t="s">
        <v>47</v>
      </c>
      <c r="H93" s="13">
        <v>4</v>
      </c>
      <c r="I93" s="13">
        <v>199.99</v>
      </c>
      <c r="J93" s="13" t="s">
        <v>21</v>
      </c>
      <c r="K93" s="13" t="s">
        <v>41</v>
      </c>
      <c r="L93" s="13" t="s">
        <v>37</v>
      </c>
      <c r="M93" s="14">
        <v>44458</v>
      </c>
      <c r="N93" s="13">
        <v>799.96</v>
      </c>
      <c r="O93" s="10"/>
      <c r="P93" s="13"/>
      <c r="Q93" s="10"/>
      <c r="R93" s="17">
        <f t="shared" ca="1" si="5"/>
        <v>1714</v>
      </c>
      <c r="S93" s="43">
        <f t="shared" si="3"/>
        <v>45535</v>
      </c>
      <c r="T93" s="44" t="str">
        <f t="shared" si="4"/>
        <v>Nor</v>
      </c>
      <c r="U93" s="13"/>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c r="BK93" s="10"/>
      <c r="BL93" s="10"/>
      <c r="BM93" s="10"/>
      <c r="BN93" s="10"/>
      <c r="BO93" s="10"/>
      <c r="BP93" s="10"/>
      <c r="BQ93" s="10"/>
      <c r="BR93" s="10"/>
      <c r="BS93" s="10"/>
      <c r="BT93" s="10"/>
      <c r="BU93" s="10"/>
      <c r="BV93" s="10"/>
      <c r="BW93" s="10"/>
      <c r="BX93" s="10"/>
      <c r="BY93" s="10"/>
      <c r="BZ93" s="10"/>
      <c r="CA93" s="10"/>
      <c r="CB93" s="10"/>
      <c r="CC93" s="10"/>
      <c r="CD93" s="10"/>
      <c r="CE93" s="10"/>
      <c r="CF93" s="10"/>
      <c r="CG93" s="10"/>
      <c r="CH93" s="10"/>
      <c r="CI93" s="10"/>
      <c r="CJ93" s="10"/>
      <c r="CK93" s="10"/>
      <c r="CL93" s="10"/>
      <c r="CM93" s="10"/>
      <c r="CN93" s="10"/>
      <c r="CO93" s="10"/>
      <c r="CP93" s="10"/>
      <c r="CQ93" s="10"/>
      <c r="CR93" s="10"/>
      <c r="CS93" s="10"/>
      <c r="CT93" s="10"/>
      <c r="CU93" s="10"/>
      <c r="CV93" s="10"/>
      <c r="CW93" s="10"/>
      <c r="CX93" s="10"/>
      <c r="CY93" s="10"/>
      <c r="CZ93" s="10"/>
      <c r="DA93" s="10"/>
      <c r="DB93" s="10"/>
      <c r="DC93" s="10"/>
      <c r="DD93" s="10"/>
      <c r="DE93" s="10"/>
      <c r="DF93" s="10"/>
      <c r="DG93" s="10"/>
      <c r="DH93" s="10"/>
    </row>
    <row r="94" spans="1:112" ht="15.75" customHeight="1" x14ac:dyDescent="0.3">
      <c r="A94" s="13" t="s">
        <v>221</v>
      </c>
      <c r="B94" s="14">
        <v>45519</v>
      </c>
      <c r="C94" s="13" t="s">
        <v>159</v>
      </c>
      <c r="D94" s="13" t="s">
        <v>160</v>
      </c>
      <c r="E94" s="13" t="s">
        <v>127</v>
      </c>
      <c r="F94" s="13" t="s">
        <v>128</v>
      </c>
      <c r="G94" s="13" t="s">
        <v>47</v>
      </c>
      <c r="H94" s="13">
        <v>5</v>
      </c>
      <c r="I94" s="13">
        <v>199.99</v>
      </c>
      <c r="J94" s="13" t="s">
        <v>21</v>
      </c>
      <c r="K94" s="13" t="s">
        <v>41</v>
      </c>
      <c r="L94" s="13" t="s">
        <v>28</v>
      </c>
      <c r="M94" s="14">
        <v>44991</v>
      </c>
      <c r="N94" s="13">
        <v>999.95</v>
      </c>
      <c r="O94" s="10"/>
      <c r="P94" s="13"/>
      <c r="Q94" s="10"/>
      <c r="R94" s="17">
        <f t="shared" ca="1" si="5"/>
        <v>1181</v>
      </c>
      <c r="S94" s="43">
        <f t="shared" si="3"/>
        <v>45535</v>
      </c>
      <c r="T94" s="44" t="str">
        <f t="shared" si="4"/>
        <v>Nor</v>
      </c>
      <c r="U94" s="13"/>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c r="BK94" s="10"/>
      <c r="BL94" s="10"/>
      <c r="BM94" s="10"/>
      <c r="BN94" s="10"/>
      <c r="BO94" s="10"/>
      <c r="BP94" s="10"/>
      <c r="BQ94" s="10"/>
      <c r="BR94" s="10"/>
      <c r="BS94" s="10"/>
      <c r="BT94" s="10"/>
      <c r="BU94" s="10"/>
      <c r="BV94" s="10"/>
      <c r="BW94" s="10"/>
      <c r="BX94" s="10"/>
      <c r="BY94" s="10"/>
      <c r="BZ94" s="10"/>
      <c r="CA94" s="10"/>
      <c r="CB94" s="10"/>
      <c r="CC94" s="10"/>
      <c r="CD94" s="10"/>
      <c r="CE94" s="10"/>
      <c r="CF94" s="10"/>
      <c r="CG94" s="10"/>
      <c r="CH94" s="10"/>
      <c r="CI94" s="10"/>
      <c r="CJ94" s="10"/>
      <c r="CK94" s="10"/>
      <c r="CL94" s="10"/>
      <c r="CM94" s="10"/>
      <c r="CN94" s="10"/>
      <c r="CO94" s="10"/>
      <c r="CP94" s="10"/>
      <c r="CQ94" s="10"/>
      <c r="CR94" s="10"/>
      <c r="CS94" s="10"/>
      <c r="CT94" s="10"/>
      <c r="CU94" s="10"/>
      <c r="CV94" s="10"/>
      <c r="CW94" s="10"/>
      <c r="CX94" s="10"/>
      <c r="CY94" s="10"/>
      <c r="CZ94" s="10"/>
      <c r="DA94" s="10"/>
      <c r="DB94" s="10"/>
      <c r="DC94" s="10"/>
      <c r="DD94" s="10"/>
      <c r="DE94" s="10"/>
      <c r="DF94" s="10"/>
      <c r="DG94" s="10"/>
      <c r="DH94" s="10"/>
    </row>
    <row r="95" spans="1:112" ht="15.75" customHeight="1" x14ac:dyDescent="0.3">
      <c r="A95" s="13" t="s">
        <v>222</v>
      </c>
      <c r="B95" s="14">
        <v>45522</v>
      </c>
      <c r="C95" s="13" t="s">
        <v>87</v>
      </c>
      <c r="D95" s="13" t="s">
        <v>88</v>
      </c>
      <c r="E95" s="13" t="s">
        <v>118</v>
      </c>
      <c r="F95" s="13" t="s">
        <v>119</v>
      </c>
      <c r="G95" s="13" t="s">
        <v>20</v>
      </c>
      <c r="H95" s="13">
        <v>2</v>
      </c>
      <c r="I95" s="13">
        <v>89.99</v>
      </c>
      <c r="J95" s="13" t="s">
        <v>21</v>
      </c>
      <c r="K95" s="13" t="s">
        <v>64</v>
      </c>
      <c r="L95" s="13" t="s">
        <v>28</v>
      </c>
      <c r="M95" s="14">
        <v>44972</v>
      </c>
      <c r="N95" s="13">
        <v>179.98</v>
      </c>
      <c r="O95" s="10"/>
      <c r="P95" s="13"/>
      <c r="Q95" s="10"/>
      <c r="R95" s="17">
        <f t="shared" ca="1" si="5"/>
        <v>1200</v>
      </c>
      <c r="S95" s="43">
        <f t="shared" si="3"/>
        <v>45535</v>
      </c>
      <c r="T95" s="44" t="str">
        <f t="shared" si="4"/>
        <v>Eas</v>
      </c>
      <c r="U95" s="13"/>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c r="BE95" s="10"/>
      <c r="BF95" s="10"/>
      <c r="BG95" s="10"/>
      <c r="BH95" s="10"/>
      <c r="BI95" s="10"/>
      <c r="BJ95" s="10"/>
      <c r="BK95" s="10"/>
      <c r="BL95" s="10"/>
      <c r="BM95" s="10"/>
      <c r="BN95" s="10"/>
      <c r="BO95" s="10"/>
      <c r="BP95" s="10"/>
      <c r="BQ95" s="10"/>
      <c r="BR95" s="10"/>
      <c r="BS95" s="10"/>
      <c r="BT95" s="10"/>
      <c r="BU95" s="10"/>
      <c r="BV95" s="10"/>
      <c r="BW95" s="10"/>
      <c r="BX95" s="10"/>
      <c r="BY95" s="10"/>
      <c r="BZ95" s="10"/>
      <c r="CA95" s="10"/>
      <c r="CB95" s="10"/>
      <c r="CC95" s="10"/>
      <c r="CD95" s="10"/>
      <c r="CE95" s="10"/>
      <c r="CF95" s="10"/>
      <c r="CG95" s="10"/>
      <c r="CH95" s="10"/>
      <c r="CI95" s="10"/>
      <c r="CJ95" s="10"/>
      <c r="CK95" s="10"/>
      <c r="CL95" s="10"/>
      <c r="CM95" s="10"/>
      <c r="CN95" s="10"/>
      <c r="CO95" s="10"/>
      <c r="CP95" s="10"/>
      <c r="CQ95" s="10"/>
      <c r="CR95" s="10"/>
      <c r="CS95" s="10"/>
      <c r="CT95" s="10"/>
      <c r="CU95" s="10"/>
      <c r="CV95" s="10"/>
      <c r="CW95" s="10"/>
      <c r="CX95" s="10"/>
      <c r="CY95" s="10"/>
      <c r="CZ95" s="10"/>
      <c r="DA95" s="10"/>
      <c r="DB95" s="10"/>
      <c r="DC95" s="10"/>
      <c r="DD95" s="10"/>
      <c r="DE95" s="10"/>
      <c r="DF95" s="10"/>
      <c r="DG95" s="10"/>
      <c r="DH95" s="10"/>
    </row>
    <row r="96" spans="1:112" ht="15.75" customHeight="1" x14ac:dyDescent="0.3">
      <c r="A96" s="13" t="s">
        <v>223</v>
      </c>
      <c r="B96" s="14">
        <v>45523</v>
      </c>
      <c r="C96" s="13" t="s">
        <v>197</v>
      </c>
      <c r="D96" s="13" t="s">
        <v>198</v>
      </c>
      <c r="E96" s="13" t="s">
        <v>62</v>
      </c>
      <c r="F96" s="13" t="s">
        <v>63</v>
      </c>
      <c r="G96" s="13" t="s">
        <v>20</v>
      </c>
      <c r="H96" s="13">
        <v>5</v>
      </c>
      <c r="I96" s="13">
        <v>899.99</v>
      </c>
      <c r="J96" s="13" t="s">
        <v>58</v>
      </c>
      <c r="K96" s="13" t="s">
        <v>64</v>
      </c>
      <c r="L96" s="13" t="s">
        <v>23</v>
      </c>
      <c r="M96" s="14">
        <v>44526</v>
      </c>
      <c r="N96" s="13">
        <v>4499.95</v>
      </c>
      <c r="O96" s="10"/>
      <c r="P96" s="13"/>
      <c r="Q96" s="10"/>
      <c r="R96" s="17">
        <f t="shared" ca="1" si="5"/>
        <v>1646</v>
      </c>
      <c r="S96" s="43">
        <f t="shared" si="3"/>
        <v>45535</v>
      </c>
      <c r="T96" s="44" t="str">
        <f t="shared" si="4"/>
        <v>Eas</v>
      </c>
      <c r="U96" s="13"/>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c r="BK96" s="10"/>
      <c r="BL96" s="10"/>
      <c r="BM96" s="10"/>
      <c r="BN96" s="10"/>
      <c r="BO96" s="10"/>
      <c r="BP96" s="10"/>
      <c r="BQ96" s="10"/>
      <c r="BR96" s="10"/>
      <c r="BS96" s="10"/>
      <c r="BT96" s="10"/>
      <c r="BU96" s="10"/>
      <c r="BV96" s="10"/>
      <c r="BW96" s="10"/>
      <c r="BX96" s="10"/>
      <c r="BY96" s="10"/>
      <c r="BZ96" s="10"/>
      <c r="CA96" s="10"/>
      <c r="CB96" s="10"/>
      <c r="CC96" s="10"/>
      <c r="CD96" s="10"/>
      <c r="CE96" s="10"/>
      <c r="CF96" s="10"/>
      <c r="CG96" s="10"/>
      <c r="CH96" s="10"/>
      <c r="CI96" s="10"/>
      <c r="CJ96" s="10"/>
      <c r="CK96" s="10"/>
      <c r="CL96" s="10"/>
      <c r="CM96" s="10"/>
      <c r="CN96" s="10"/>
      <c r="CO96" s="10"/>
      <c r="CP96" s="10"/>
      <c r="CQ96" s="10"/>
      <c r="CR96" s="10"/>
      <c r="CS96" s="10"/>
      <c r="CT96" s="10"/>
      <c r="CU96" s="10"/>
      <c r="CV96" s="10"/>
      <c r="CW96" s="10"/>
      <c r="CX96" s="10"/>
      <c r="CY96" s="10"/>
      <c r="CZ96" s="10"/>
      <c r="DA96" s="10"/>
      <c r="DB96" s="10"/>
      <c r="DC96" s="10"/>
      <c r="DD96" s="10"/>
      <c r="DE96" s="10"/>
      <c r="DF96" s="10"/>
      <c r="DG96" s="10"/>
      <c r="DH96" s="10"/>
    </row>
    <row r="97" spans="1:112" ht="15.75" customHeight="1" x14ac:dyDescent="0.3">
      <c r="A97" s="13" t="s">
        <v>224</v>
      </c>
      <c r="B97" s="14">
        <v>45523</v>
      </c>
      <c r="C97" s="13" t="s">
        <v>109</v>
      </c>
      <c r="D97" s="13" t="s">
        <v>110</v>
      </c>
      <c r="E97" s="13" t="s">
        <v>53</v>
      </c>
      <c r="F97" s="13" t="s">
        <v>54</v>
      </c>
      <c r="G97" s="13" t="s">
        <v>20</v>
      </c>
      <c r="H97" s="13">
        <v>3</v>
      </c>
      <c r="I97" s="13">
        <v>149.99</v>
      </c>
      <c r="J97" s="13" t="s">
        <v>35</v>
      </c>
      <c r="K97" s="13" t="s">
        <v>64</v>
      </c>
      <c r="L97" s="13" t="s">
        <v>23</v>
      </c>
      <c r="M97" s="14">
        <v>44574</v>
      </c>
      <c r="N97" s="13">
        <v>449.97</v>
      </c>
      <c r="O97" s="10"/>
      <c r="P97" s="13"/>
      <c r="Q97" s="10"/>
      <c r="R97" s="17">
        <f t="shared" ca="1" si="5"/>
        <v>1598</v>
      </c>
      <c r="S97" s="43">
        <f t="shared" si="3"/>
        <v>45535</v>
      </c>
      <c r="T97" s="44" t="str">
        <f t="shared" si="4"/>
        <v>Eas</v>
      </c>
      <c r="U97" s="13"/>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c r="BE97" s="10"/>
      <c r="BF97" s="10"/>
      <c r="BG97" s="10"/>
      <c r="BH97" s="10"/>
      <c r="BI97" s="10"/>
      <c r="BJ97" s="10"/>
      <c r="BK97" s="10"/>
      <c r="BL97" s="10"/>
      <c r="BM97" s="10"/>
      <c r="BN97" s="10"/>
      <c r="BO97" s="10"/>
      <c r="BP97" s="10"/>
      <c r="BQ97" s="10"/>
      <c r="BR97" s="10"/>
      <c r="BS97" s="10"/>
      <c r="BT97" s="10"/>
      <c r="BU97" s="10"/>
      <c r="BV97" s="10"/>
      <c r="BW97" s="10"/>
      <c r="BX97" s="10"/>
      <c r="BY97" s="10"/>
      <c r="BZ97" s="10"/>
      <c r="CA97" s="10"/>
      <c r="CB97" s="10"/>
      <c r="CC97" s="10"/>
      <c r="CD97" s="10"/>
      <c r="CE97" s="10"/>
      <c r="CF97" s="10"/>
      <c r="CG97" s="10"/>
      <c r="CH97" s="10"/>
      <c r="CI97" s="10"/>
      <c r="CJ97" s="10"/>
      <c r="CK97" s="10"/>
      <c r="CL97" s="10"/>
      <c r="CM97" s="10"/>
      <c r="CN97" s="10"/>
      <c r="CO97" s="10"/>
      <c r="CP97" s="10"/>
      <c r="CQ97" s="10"/>
      <c r="CR97" s="10"/>
      <c r="CS97" s="10"/>
      <c r="CT97" s="10"/>
      <c r="CU97" s="10"/>
      <c r="CV97" s="10"/>
      <c r="CW97" s="10"/>
      <c r="CX97" s="10"/>
      <c r="CY97" s="10"/>
      <c r="CZ97" s="10"/>
      <c r="DA97" s="10"/>
      <c r="DB97" s="10"/>
      <c r="DC97" s="10"/>
      <c r="DD97" s="10"/>
      <c r="DE97" s="10"/>
      <c r="DF97" s="10"/>
      <c r="DG97" s="10"/>
      <c r="DH97" s="10"/>
    </row>
    <row r="98" spans="1:112" ht="15.75" customHeight="1" x14ac:dyDescent="0.3">
      <c r="A98" s="13" t="s">
        <v>225</v>
      </c>
      <c r="B98" s="14">
        <v>45526</v>
      </c>
      <c r="C98" s="13" t="s">
        <v>103</v>
      </c>
      <c r="D98" s="13" t="s">
        <v>104</v>
      </c>
      <c r="E98" s="13" t="s">
        <v>45</v>
      </c>
      <c r="F98" s="13" t="s">
        <v>46</v>
      </c>
      <c r="G98" s="13" t="s">
        <v>47</v>
      </c>
      <c r="H98" s="13">
        <v>5</v>
      </c>
      <c r="I98" s="13">
        <v>149.99</v>
      </c>
      <c r="J98" s="13" t="s">
        <v>27</v>
      </c>
      <c r="K98" s="13" t="s">
        <v>22</v>
      </c>
      <c r="L98" s="13" t="s">
        <v>23</v>
      </c>
      <c r="M98" s="14">
        <v>45310</v>
      </c>
      <c r="N98" s="13">
        <v>749.95</v>
      </c>
      <c r="O98" s="10"/>
      <c r="P98" s="13"/>
      <c r="Q98" s="10"/>
      <c r="R98" s="17">
        <f t="shared" ca="1" si="5"/>
        <v>862</v>
      </c>
      <c r="S98" s="43">
        <f t="shared" si="3"/>
        <v>45535</v>
      </c>
      <c r="T98" s="44" t="str">
        <f t="shared" si="4"/>
        <v>Cen</v>
      </c>
      <c r="U98" s="13"/>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c r="BU98" s="10"/>
      <c r="BV98" s="10"/>
      <c r="BW98" s="10"/>
      <c r="BX98" s="10"/>
      <c r="BY98" s="10"/>
      <c r="BZ98" s="10"/>
      <c r="CA98" s="10"/>
      <c r="CB98" s="10"/>
      <c r="CC98" s="10"/>
      <c r="CD98" s="10"/>
      <c r="CE98" s="10"/>
      <c r="CF98" s="10"/>
      <c r="CG98" s="10"/>
      <c r="CH98" s="10"/>
      <c r="CI98" s="10"/>
      <c r="CJ98" s="10"/>
      <c r="CK98" s="10"/>
      <c r="CL98" s="10"/>
      <c r="CM98" s="10"/>
      <c r="CN98" s="10"/>
      <c r="CO98" s="10"/>
      <c r="CP98" s="10"/>
      <c r="CQ98" s="10"/>
      <c r="CR98" s="10"/>
      <c r="CS98" s="10"/>
      <c r="CT98" s="10"/>
      <c r="CU98" s="10"/>
      <c r="CV98" s="10"/>
      <c r="CW98" s="10"/>
      <c r="CX98" s="10"/>
      <c r="CY98" s="10"/>
      <c r="CZ98" s="10"/>
      <c r="DA98" s="10"/>
      <c r="DB98" s="10"/>
      <c r="DC98" s="10"/>
      <c r="DD98" s="10"/>
      <c r="DE98" s="10"/>
      <c r="DF98" s="10"/>
      <c r="DG98" s="10"/>
      <c r="DH98" s="10"/>
    </row>
    <row r="99" spans="1:112" ht="15.75" customHeight="1" x14ac:dyDescent="0.3">
      <c r="A99" s="13" t="s">
        <v>226</v>
      </c>
      <c r="B99" s="14">
        <v>45528</v>
      </c>
      <c r="C99" s="13" t="s">
        <v>227</v>
      </c>
      <c r="D99" s="13" t="s">
        <v>228</v>
      </c>
      <c r="E99" s="13" t="s">
        <v>115</v>
      </c>
      <c r="F99" s="13" t="s">
        <v>116</v>
      </c>
      <c r="G99" s="13" t="s">
        <v>34</v>
      </c>
      <c r="H99" s="13">
        <v>3</v>
      </c>
      <c r="I99" s="13">
        <v>79.989999999999995</v>
      </c>
      <c r="J99" s="13" t="s">
        <v>21</v>
      </c>
      <c r="K99" s="13" t="s">
        <v>22</v>
      </c>
      <c r="L99" s="13" t="s">
        <v>28</v>
      </c>
      <c r="M99" s="14">
        <v>44779</v>
      </c>
      <c r="N99" s="13">
        <v>239.97</v>
      </c>
      <c r="O99" s="10"/>
      <c r="P99" s="13"/>
      <c r="Q99" s="10"/>
      <c r="R99" s="17">
        <f t="shared" ca="1" si="5"/>
        <v>1393</v>
      </c>
      <c r="S99" s="43">
        <f t="shared" si="3"/>
        <v>45535</v>
      </c>
      <c r="T99" s="44" t="str">
        <f t="shared" si="4"/>
        <v>Cen</v>
      </c>
      <c r="U99" s="13"/>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c r="BP99" s="10"/>
      <c r="BQ99" s="10"/>
      <c r="BR99" s="10"/>
      <c r="BS99" s="10"/>
      <c r="BT99" s="10"/>
      <c r="BU99" s="10"/>
      <c r="BV99" s="10"/>
      <c r="BW99" s="10"/>
      <c r="BX99" s="10"/>
      <c r="BY99" s="10"/>
      <c r="BZ99" s="10"/>
      <c r="CA99" s="10"/>
      <c r="CB99" s="10"/>
      <c r="CC99" s="10"/>
      <c r="CD99" s="10"/>
      <c r="CE99" s="10"/>
      <c r="CF99" s="10"/>
      <c r="CG99" s="10"/>
      <c r="CH99" s="10"/>
      <c r="CI99" s="10"/>
      <c r="CJ99" s="10"/>
      <c r="CK99" s="10"/>
      <c r="CL99" s="10"/>
      <c r="CM99" s="10"/>
      <c r="CN99" s="10"/>
      <c r="CO99" s="10"/>
      <c r="CP99" s="10"/>
      <c r="CQ99" s="10"/>
      <c r="CR99" s="10"/>
      <c r="CS99" s="10"/>
      <c r="CT99" s="10"/>
      <c r="CU99" s="10"/>
      <c r="CV99" s="10"/>
      <c r="CW99" s="10"/>
      <c r="CX99" s="10"/>
      <c r="CY99" s="10"/>
      <c r="CZ99" s="10"/>
      <c r="DA99" s="10"/>
      <c r="DB99" s="10"/>
      <c r="DC99" s="10"/>
      <c r="DD99" s="10"/>
      <c r="DE99" s="10"/>
      <c r="DF99" s="10"/>
      <c r="DG99" s="10"/>
      <c r="DH99" s="10"/>
    </row>
    <row r="100" spans="1:112" ht="15.75" customHeight="1" x14ac:dyDescent="0.3">
      <c r="A100" s="13" t="s">
        <v>229</v>
      </c>
      <c r="B100" s="14">
        <v>45528</v>
      </c>
      <c r="C100" s="13" t="s">
        <v>145</v>
      </c>
      <c r="D100" s="13" t="s">
        <v>146</v>
      </c>
      <c r="E100" s="13" t="s">
        <v>18</v>
      </c>
      <c r="F100" s="13" t="s">
        <v>19</v>
      </c>
      <c r="G100" s="13" t="s">
        <v>20</v>
      </c>
      <c r="H100" s="13">
        <v>2</v>
      </c>
      <c r="I100" s="13">
        <v>249.99</v>
      </c>
      <c r="J100" s="13" t="s">
        <v>21</v>
      </c>
      <c r="K100" s="13" t="s">
        <v>36</v>
      </c>
      <c r="L100" s="13" t="s">
        <v>37</v>
      </c>
      <c r="M100" s="14">
        <v>44572</v>
      </c>
      <c r="N100" s="13">
        <v>499.98</v>
      </c>
      <c r="O100" s="10"/>
      <c r="P100" s="13"/>
      <c r="Q100" s="10"/>
      <c r="R100" s="17">
        <f t="shared" ca="1" si="5"/>
        <v>1600</v>
      </c>
      <c r="S100" s="43">
        <f t="shared" si="3"/>
        <v>45535</v>
      </c>
      <c r="T100" s="44" t="str">
        <f t="shared" si="4"/>
        <v>Sou</v>
      </c>
      <c r="U100" s="13"/>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c r="CZ100" s="10"/>
      <c r="DA100" s="10"/>
      <c r="DB100" s="10"/>
      <c r="DC100" s="10"/>
      <c r="DD100" s="10"/>
      <c r="DE100" s="10"/>
      <c r="DF100" s="10"/>
      <c r="DG100" s="10"/>
      <c r="DH100" s="10"/>
    </row>
    <row r="101" spans="1:112" ht="15.75" customHeight="1" x14ac:dyDescent="0.3">
      <c r="A101" s="13" t="s">
        <v>230</v>
      </c>
      <c r="B101" s="14">
        <v>45532</v>
      </c>
      <c r="C101" s="13" t="s">
        <v>197</v>
      </c>
      <c r="D101" s="13" t="s">
        <v>198</v>
      </c>
      <c r="E101" s="13" t="s">
        <v>81</v>
      </c>
      <c r="F101" s="13" t="s">
        <v>82</v>
      </c>
      <c r="G101" s="13" t="s">
        <v>20</v>
      </c>
      <c r="H101" s="13">
        <v>1</v>
      </c>
      <c r="I101" s="13">
        <v>699.99</v>
      </c>
      <c r="J101" s="13" t="s">
        <v>21</v>
      </c>
      <c r="K101" s="13" t="s">
        <v>22</v>
      </c>
      <c r="L101" s="13" t="s">
        <v>28</v>
      </c>
      <c r="M101" s="14">
        <v>44497</v>
      </c>
      <c r="N101" s="13">
        <v>699.99</v>
      </c>
      <c r="O101" s="10"/>
      <c r="P101" s="13"/>
      <c r="Q101" s="10"/>
      <c r="R101" s="17">
        <f t="shared" ca="1" si="5"/>
        <v>1675</v>
      </c>
      <c r="S101" s="43">
        <f t="shared" si="3"/>
        <v>45535</v>
      </c>
      <c r="T101" s="44" t="str">
        <f t="shared" si="4"/>
        <v>Cen</v>
      </c>
      <c r="U101" s="13"/>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10"/>
      <c r="CG101" s="10"/>
      <c r="CH101" s="10"/>
      <c r="CI101" s="10"/>
      <c r="CJ101" s="10"/>
      <c r="CK101" s="10"/>
      <c r="CL101" s="10"/>
      <c r="CM101" s="10"/>
      <c r="CN101" s="10"/>
      <c r="CO101" s="10"/>
      <c r="CP101" s="10"/>
      <c r="CQ101" s="10"/>
      <c r="CR101" s="10"/>
      <c r="CS101" s="10"/>
      <c r="CT101" s="10"/>
      <c r="CU101" s="10"/>
      <c r="CV101" s="10"/>
      <c r="CW101" s="10"/>
      <c r="CX101" s="10"/>
      <c r="CY101" s="10"/>
      <c r="CZ101" s="10"/>
      <c r="DA101" s="10"/>
      <c r="DB101" s="10"/>
      <c r="DC101" s="10"/>
      <c r="DD101" s="10"/>
      <c r="DE101" s="10"/>
      <c r="DF101" s="10"/>
      <c r="DG101" s="10"/>
      <c r="DH101" s="10"/>
    </row>
    <row r="102" spans="1:112" ht="15.75" customHeight="1" x14ac:dyDescent="0.3">
      <c r="A102" s="13" t="s">
        <v>231</v>
      </c>
      <c r="B102" s="14">
        <v>45532</v>
      </c>
      <c r="C102" s="13" t="s">
        <v>232</v>
      </c>
      <c r="D102" s="13" t="s">
        <v>233</v>
      </c>
      <c r="E102" s="13" t="s">
        <v>53</v>
      </c>
      <c r="F102" s="13" t="s">
        <v>54</v>
      </c>
      <c r="G102" s="13" t="s">
        <v>20</v>
      </c>
      <c r="H102" s="13">
        <v>3</v>
      </c>
      <c r="I102" s="13">
        <v>149.99</v>
      </c>
      <c r="J102" s="13" t="s">
        <v>21</v>
      </c>
      <c r="K102" s="13" t="s">
        <v>51</v>
      </c>
      <c r="L102" s="13" t="s">
        <v>28</v>
      </c>
      <c r="M102" s="14">
        <v>45212</v>
      </c>
      <c r="N102" s="13">
        <v>449.97</v>
      </c>
      <c r="O102" s="10"/>
      <c r="P102" s="13"/>
      <c r="Q102" s="10"/>
      <c r="R102" s="17">
        <f t="shared" ca="1" si="5"/>
        <v>960</v>
      </c>
      <c r="S102" s="43">
        <f t="shared" si="3"/>
        <v>45535</v>
      </c>
      <c r="T102" s="44" t="str">
        <f t="shared" si="4"/>
        <v>Wes</v>
      </c>
      <c r="U102" s="13"/>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c r="BK102" s="10"/>
      <c r="BL102" s="10"/>
      <c r="BM102" s="10"/>
      <c r="BN102" s="10"/>
      <c r="BO102" s="10"/>
      <c r="BP102" s="10"/>
      <c r="BQ102" s="10"/>
      <c r="BR102" s="10"/>
      <c r="BS102" s="10"/>
      <c r="BT102" s="10"/>
      <c r="BU102" s="10"/>
      <c r="BV102" s="10"/>
      <c r="BW102" s="10"/>
      <c r="BX102" s="10"/>
      <c r="BY102" s="10"/>
      <c r="BZ102" s="10"/>
      <c r="CA102" s="10"/>
      <c r="CB102" s="10"/>
      <c r="CC102" s="10"/>
      <c r="CD102" s="10"/>
      <c r="CE102" s="10"/>
      <c r="CF102" s="10"/>
      <c r="CG102" s="10"/>
      <c r="CH102" s="10"/>
      <c r="CI102" s="10"/>
      <c r="CJ102" s="10"/>
      <c r="CK102" s="10"/>
      <c r="CL102" s="10"/>
      <c r="CM102" s="10"/>
      <c r="CN102" s="10"/>
      <c r="CO102" s="10"/>
      <c r="CP102" s="10"/>
      <c r="CQ102" s="10"/>
      <c r="CR102" s="10"/>
      <c r="CS102" s="10"/>
      <c r="CT102" s="10"/>
      <c r="CU102" s="10"/>
      <c r="CV102" s="10"/>
      <c r="CW102" s="10"/>
      <c r="CX102" s="10"/>
      <c r="CY102" s="10"/>
      <c r="CZ102" s="10"/>
      <c r="DA102" s="10"/>
      <c r="DB102" s="10"/>
      <c r="DC102" s="10"/>
      <c r="DD102" s="10"/>
      <c r="DE102" s="10"/>
      <c r="DF102" s="10"/>
      <c r="DG102" s="10"/>
      <c r="DH102" s="10"/>
    </row>
    <row r="103" spans="1:112" ht="15.75" customHeight="1" x14ac:dyDescent="0.3">
      <c r="A103" s="13" t="s">
        <v>234</v>
      </c>
      <c r="B103" s="14">
        <v>45534</v>
      </c>
      <c r="C103" s="13" t="s">
        <v>235</v>
      </c>
      <c r="D103" s="13" t="s">
        <v>236</v>
      </c>
      <c r="E103" s="13" t="s">
        <v>81</v>
      </c>
      <c r="F103" s="13" t="s">
        <v>82</v>
      </c>
      <c r="G103" s="13" t="s">
        <v>20</v>
      </c>
      <c r="H103" s="13">
        <v>2</v>
      </c>
      <c r="I103" s="13">
        <v>699.99</v>
      </c>
      <c r="J103" s="13" t="s">
        <v>27</v>
      </c>
      <c r="K103" s="13" t="s">
        <v>41</v>
      </c>
      <c r="L103" s="13" t="s">
        <v>28</v>
      </c>
      <c r="M103" s="14">
        <v>44421</v>
      </c>
      <c r="N103" s="13">
        <v>1399.98</v>
      </c>
      <c r="O103" s="10"/>
      <c r="P103" s="13"/>
      <c r="Q103" s="10"/>
      <c r="R103" s="17">
        <f t="shared" ca="1" si="5"/>
        <v>1751</v>
      </c>
      <c r="S103" s="43">
        <f t="shared" si="3"/>
        <v>45535</v>
      </c>
      <c r="T103" s="44" t="str">
        <f t="shared" si="4"/>
        <v>Nor</v>
      </c>
      <c r="U103" s="13"/>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10"/>
      <c r="BJ103" s="10"/>
      <c r="BK103" s="10"/>
      <c r="BL103" s="10"/>
      <c r="BM103" s="10"/>
      <c r="BN103" s="10"/>
      <c r="BO103" s="10"/>
      <c r="BP103" s="10"/>
      <c r="BQ103" s="10"/>
      <c r="BR103" s="10"/>
      <c r="BS103" s="10"/>
      <c r="BT103" s="10"/>
      <c r="BU103" s="10"/>
      <c r="BV103" s="10"/>
      <c r="BW103" s="10"/>
      <c r="BX103" s="10"/>
      <c r="BY103" s="10"/>
      <c r="BZ103" s="10"/>
      <c r="CA103" s="10"/>
      <c r="CB103" s="10"/>
      <c r="CC103" s="10"/>
      <c r="CD103" s="10"/>
      <c r="CE103" s="10"/>
      <c r="CF103" s="10"/>
      <c r="CG103" s="10"/>
      <c r="CH103" s="10"/>
      <c r="CI103" s="10"/>
      <c r="CJ103" s="10"/>
      <c r="CK103" s="10"/>
      <c r="CL103" s="10"/>
      <c r="CM103" s="10"/>
      <c r="CN103" s="10"/>
      <c r="CO103" s="10"/>
      <c r="CP103" s="10"/>
      <c r="CQ103" s="10"/>
      <c r="CR103" s="10"/>
      <c r="CS103" s="10"/>
      <c r="CT103" s="10"/>
      <c r="CU103" s="10"/>
      <c r="CV103" s="10"/>
      <c r="CW103" s="10"/>
      <c r="CX103" s="10"/>
      <c r="CY103" s="10"/>
      <c r="CZ103" s="10"/>
      <c r="DA103" s="10"/>
      <c r="DB103" s="10"/>
      <c r="DC103" s="10"/>
      <c r="DD103" s="10"/>
      <c r="DE103" s="10"/>
      <c r="DF103" s="10"/>
      <c r="DG103" s="10"/>
      <c r="DH103" s="10"/>
    </row>
    <row r="104" spans="1:112" ht="15.75" customHeight="1" x14ac:dyDescent="0.3">
      <c r="A104" s="13" t="s">
        <v>237</v>
      </c>
      <c r="B104" s="14">
        <v>45537</v>
      </c>
      <c r="C104" s="13" t="s">
        <v>232</v>
      </c>
      <c r="D104" s="13" t="s">
        <v>233</v>
      </c>
      <c r="E104" s="13" t="s">
        <v>18</v>
      </c>
      <c r="F104" s="13" t="s">
        <v>19</v>
      </c>
      <c r="G104" s="13" t="s">
        <v>20</v>
      </c>
      <c r="H104" s="13">
        <v>1</v>
      </c>
      <c r="I104" s="13">
        <v>249.99</v>
      </c>
      <c r="J104" s="13" t="s">
        <v>27</v>
      </c>
      <c r="K104" s="13" t="s">
        <v>51</v>
      </c>
      <c r="L104" s="13" t="s">
        <v>28</v>
      </c>
      <c r="M104" s="14">
        <v>44685</v>
      </c>
      <c r="N104" s="13">
        <v>249.99</v>
      </c>
      <c r="O104" s="10"/>
      <c r="P104" s="13"/>
      <c r="Q104" s="10"/>
      <c r="R104" s="17">
        <f t="shared" ca="1" si="5"/>
        <v>1487</v>
      </c>
      <c r="S104" s="43">
        <f t="shared" si="3"/>
        <v>45565</v>
      </c>
      <c r="T104" s="44" t="str">
        <f t="shared" si="4"/>
        <v>Wes</v>
      </c>
      <c r="U104" s="13"/>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10"/>
      <c r="BJ104" s="10"/>
      <c r="BK104" s="10"/>
      <c r="BL104" s="10"/>
      <c r="BM104" s="10"/>
      <c r="BN104" s="10"/>
      <c r="BO104" s="10"/>
      <c r="BP104" s="10"/>
      <c r="BQ104" s="10"/>
      <c r="BR104" s="10"/>
      <c r="BS104" s="10"/>
      <c r="BT104" s="10"/>
      <c r="BU104" s="10"/>
      <c r="BV104" s="10"/>
      <c r="BW104" s="10"/>
      <c r="BX104" s="10"/>
      <c r="BY104" s="10"/>
      <c r="BZ104" s="10"/>
      <c r="CA104" s="10"/>
      <c r="CB104" s="10"/>
      <c r="CC104" s="10"/>
      <c r="CD104" s="10"/>
      <c r="CE104" s="10"/>
      <c r="CF104" s="10"/>
      <c r="CG104" s="10"/>
      <c r="CH104" s="10"/>
      <c r="CI104" s="10"/>
      <c r="CJ104" s="10"/>
      <c r="CK104" s="10"/>
      <c r="CL104" s="10"/>
      <c r="CM104" s="10"/>
      <c r="CN104" s="10"/>
      <c r="CO104" s="10"/>
      <c r="CP104" s="10"/>
      <c r="CQ104" s="10"/>
      <c r="CR104" s="10"/>
      <c r="CS104" s="10"/>
      <c r="CT104" s="10"/>
      <c r="CU104" s="10"/>
      <c r="CV104" s="10"/>
      <c r="CW104" s="10"/>
      <c r="CX104" s="10"/>
      <c r="CY104" s="10"/>
      <c r="CZ104" s="10"/>
      <c r="DA104" s="10"/>
      <c r="DB104" s="10"/>
      <c r="DC104" s="10"/>
      <c r="DD104" s="10"/>
      <c r="DE104" s="10"/>
      <c r="DF104" s="10"/>
      <c r="DG104" s="10"/>
      <c r="DH104" s="10"/>
    </row>
    <row r="105" spans="1:112" ht="15.75" customHeight="1" x14ac:dyDescent="0.3">
      <c r="A105" s="13" t="s">
        <v>238</v>
      </c>
      <c r="B105" s="14">
        <v>45537</v>
      </c>
      <c r="C105" s="13" t="s">
        <v>16</v>
      </c>
      <c r="D105" s="13" t="s">
        <v>17</v>
      </c>
      <c r="E105" s="13" t="s">
        <v>18</v>
      </c>
      <c r="F105" s="13" t="s">
        <v>19</v>
      </c>
      <c r="G105" s="13" t="s">
        <v>20</v>
      </c>
      <c r="H105" s="13">
        <v>1</v>
      </c>
      <c r="I105" s="13">
        <v>249.99</v>
      </c>
      <c r="J105" s="13" t="s">
        <v>58</v>
      </c>
      <c r="K105" s="13" t="s">
        <v>41</v>
      </c>
      <c r="L105" s="13" t="s">
        <v>28</v>
      </c>
      <c r="M105" s="14">
        <v>45332</v>
      </c>
      <c r="N105" s="13">
        <v>249.99</v>
      </c>
      <c r="O105" s="10"/>
      <c r="P105" s="13"/>
      <c r="Q105" s="10"/>
      <c r="R105" s="17">
        <f t="shared" ca="1" si="5"/>
        <v>840</v>
      </c>
      <c r="S105" s="43">
        <f t="shared" si="3"/>
        <v>45565</v>
      </c>
      <c r="T105" s="44" t="str">
        <f t="shared" si="4"/>
        <v>Nor</v>
      </c>
      <c r="U105" s="13"/>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10"/>
      <c r="BJ105" s="10"/>
      <c r="BK105" s="10"/>
      <c r="BL105" s="10"/>
      <c r="BM105" s="10"/>
      <c r="BN105" s="10"/>
      <c r="BO105" s="10"/>
      <c r="BP105" s="10"/>
      <c r="BQ105" s="10"/>
      <c r="BR105" s="10"/>
      <c r="BS105" s="10"/>
      <c r="BT105" s="10"/>
      <c r="BU105" s="10"/>
      <c r="BV105" s="10"/>
      <c r="BW105" s="10"/>
      <c r="BX105" s="10"/>
      <c r="BY105" s="10"/>
      <c r="BZ105" s="10"/>
      <c r="CA105" s="10"/>
      <c r="CB105" s="10"/>
      <c r="CC105" s="10"/>
      <c r="CD105" s="10"/>
      <c r="CE105" s="10"/>
      <c r="CF105" s="10"/>
      <c r="CG105" s="10"/>
      <c r="CH105" s="10"/>
      <c r="CI105" s="10"/>
      <c r="CJ105" s="10"/>
      <c r="CK105" s="10"/>
      <c r="CL105" s="10"/>
      <c r="CM105" s="10"/>
      <c r="CN105" s="10"/>
      <c r="CO105" s="10"/>
      <c r="CP105" s="10"/>
      <c r="CQ105" s="10"/>
      <c r="CR105" s="10"/>
      <c r="CS105" s="10"/>
      <c r="CT105" s="10"/>
      <c r="CU105" s="10"/>
      <c r="CV105" s="10"/>
      <c r="CW105" s="10"/>
      <c r="CX105" s="10"/>
      <c r="CY105" s="10"/>
      <c r="CZ105" s="10"/>
      <c r="DA105" s="10"/>
      <c r="DB105" s="10"/>
      <c r="DC105" s="10"/>
      <c r="DD105" s="10"/>
      <c r="DE105" s="10"/>
      <c r="DF105" s="10"/>
      <c r="DG105" s="10"/>
      <c r="DH105" s="10"/>
    </row>
    <row r="106" spans="1:112" ht="15.75" customHeight="1" x14ac:dyDescent="0.3">
      <c r="A106" s="13" t="s">
        <v>239</v>
      </c>
      <c r="B106" s="14">
        <v>45538</v>
      </c>
      <c r="C106" s="13" t="s">
        <v>227</v>
      </c>
      <c r="D106" s="13" t="s">
        <v>228</v>
      </c>
      <c r="E106" s="13" t="s">
        <v>81</v>
      </c>
      <c r="F106" s="13" t="s">
        <v>82</v>
      </c>
      <c r="G106" s="13" t="s">
        <v>20</v>
      </c>
      <c r="H106" s="13">
        <v>2</v>
      </c>
      <c r="I106" s="13">
        <v>699.99</v>
      </c>
      <c r="J106" s="13" t="s">
        <v>58</v>
      </c>
      <c r="K106" s="13" t="s">
        <v>22</v>
      </c>
      <c r="L106" s="13" t="s">
        <v>28</v>
      </c>
      <c r="M106" s="14">
        <v>44870</v>
      </c>
      <c r="N106" s="13">
        <v>1399.98</v>
      </c>
      <c r="O106" s="10"/>
      <c r="P106" s="13"/>
      <c r="Q106" s="10"/>
      <c r="R106" s="17">
        <f t="shared" ca="1" si="5"/>
        <v>1302</v>
      </c>
      <c r="S106" s="43">
        <f t="shared" si="3"/>
        <v>45565</v>
      </c>
      <c r="T106" s="44" t="str">
        <f t="shared" si="4"/>
        <v>Cen</v>
      </c>
      <c r="U106" s="13"/>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10"/>
      <c r="BJ106" s="10"/>
      <c r="BK106" s="10"/>
      <c r="BL106" s="10"/>
      <c r="BM106" s="10"/>
      <c r="BN106" s="10"/>
      <c r="BO106" s="10"/>
      <c r="BP106" s="10"/>
      <c r="BQ106" s="10"/>
      <c r="BR106" s="10"/>
      <c r="BS106" s="10"/>
      <c r="BT106" s="10"/>
      <c r="BU106" s="10"/>
      <c r="BV106" s="10"/>
      <c r="BW106" s="10"/>
      <c r="BX106" s="10"/>
      <c r="BY106" s="10"/>
      <c r="BZ106" s="10"/>
      <c r="CA106" s="10"/>
      <c r="CB106" s="10"/>
      <c r="CC106" s="10"/>
      <c r="CD106" s="10"/>
      <c r="CE106" s="10"/>
      <c r="CF106" s="10"/>
      <c r="CG106" s="10"/>
      <c r="CH106" s="10"/>
      <c r="CI106" s="10"/>
      <c r="CJ106" s="10"/>
      <c r="CK106" s="10"/>
      <c r="CL106" s="10"/>
      <c r="CM106" s="10"/>
      <c r="CN106" s="10"/>
      <c r="CO106" s="10"/>
      <c r="CP106" s="10"/>
      <c r="CQ106" s="10"/>
      <c r="CR106" s="10"/>
      <c r="CS106" s="10"/>
      <c r="CT106" s="10"/>
      <c r="CU106" s="10"/>
      <c r="CV106" s="10"/>
      <c r="CW106" s="10"/>
      <c r="CX106" s="10"/>
      <c r="CY106" s="10"/>
      <c r="CZ106" s="10"/>
      <c r="DA106" s="10"/>
      <c r="DB106" s="10"/>
      <c r="DC106" s="10"/>
      <c r="DD106" s="10"/>
      <c r="DE106" s="10"/>
      <c r="DF106" s="10"/>
      <c r="DG106" s="10"/>
      <c r="DH106" s="10"/>
    </row>
    <row r="107" spans="1:112" ht="15.75" customHeight="1" x14ac:dyDescent="0.3">
      <c r="A107" s="13" t="s">
        <v>240</v>
      </c>
      <c r="B107" s="14">
        <v>45541</v>
      </c>
      <c r="C107" s="13" t="s">
        <v>139</v>
      </c>
      <c r="D107" s="13" t="s">
        <v>140</v>
      </c>
      <c r="E107" s="13" t="s">
        <v>32</v>
      </c>
      <c r="F107" s="13" t="s">
        <v>33</v>
      </c>
      <c r="G107" s="13" t="s">
        <v>34</v>
      </c>
      <c r="H107" s="13">
        <v>3</v>
      </c>
      <c r="I107" s="13">
        <v>59.99</v>
      </c>
      <c r="J107" s="13" t="s">
        <v>27</v>
      </c>
      <c r="K107" s="13" t="s">
        <v>22</v>
      </c>
      <c r="L107" s="13" t="s">
        <v>28</v>
      </c>
      <c r="M107" s="14">
        <v>44717</v>
      </c>
      <c r="N107" s="13">
        <v>179.97</v>
      </c>
      <c r="O107" s="10"/>
      <c r="P107" s="13"/>
      <c r="Q107" s="10"/>
      <c r="R107" s="17">
        <f t="shared" ca="1" si="5"/>
        <v>1455</v>
      </c>
      <c r="S107" s="43">
        <f t="shared" si="3"/>
        <v>45565</v>
      </c>
      <c r="T107" s="44" t="str">
        <f t="shared" si="4"/>
        <v>Cen</v>
      </c>
      <c r="U107" s="13"/>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10"/>
      <c r="BJ107" s="10"/>
      <c r="BK107" s="10"/>
      <c r="BL107" s="10"/>
      <c r="BM107" s="10"/>
      <c r="BN107" s="10"/>
      <c r="BO107" s="10"/>
      <c r="BP107" s="10"/>
      <c r="BQ107" s="10"/>
      <c r="BR107" s="10"/>
      <c r="BS107" s="10"/>
      <c r="BT107" s="10"/>
      <c r="BU107" s="10"/>
      <c r="BV107" s="10"/>
      <c r="BW107" s="10"/>
      <c r="BX107" s="10"/>
      <c r="BY107" s="10"/>
      <c r="BZ107" s="10"/>
      <c r="CA107" s="10"/>
      <c r="CB107" s="10"/>
      <c r="CC107" s="10"/>
      <c r="CD107" s="10"/>
      <c r="CE107" s="10"/>
      <c r="CF107" s="10"/>
      <c r="CG107" s="10"/>
      <c r="CH107" s="10"/>
      <c r="CI107" s="10"/>
      <c r="CJ107" s="10"/>
      <c r="CK107" s="10"/>
      <c r="CL107" s="10"/>
      <c r="CM107" s="10"/>
      <c r="CN107" s="10"/>
      <c r="CO107" s="10"/>
      <c r="CP107" s="10"/>
      <c r="CQ107" s="10"/>
      <c r="CR107" s="10"/>
      <c r="CS107" s="10"/>
      <c r="CT107" s="10"/>
      <c r="CU107" s="10"/>
      <c r="CV107" s="10"/>
      <c r="CW107" s="10"/>
      <c r="CX107" s="10"/>
      <c r="CY107" s="10"/>
      <c r="CZ107" s="10"/>
      <c r="DA107" s="10"/>
      <c r="DB107" s="10"/>
      <c r="DC107" s="10"/>
      <c r="DD107" s="10"/>
      <c r="DE107" s="10"/>
      <c r="DF107" s="10"/>
      <c r="DG107" s="10"/>
      <c r="DH107" s="10"/>
    </row>
    <row r="108" spans="1:112" ht="15.75" customHeight="1" x14ac:dyDescent="0.3">
      <c r="A108" s="13" t="s">
        <v>241</v>
      </c>
      <c r="B108" s="14">
        <v>45544</v>
      </c>
      <c r="C108" s="13" t="s">
        <v>133</v>
      </c>
      <c r="D108" s="13" t="s">
        <v>134</v>
      </c>
      <c r="E108" s="13" t="s">
        <v>32</v>
      </c>
      <c r="F108" s="13" t="s">
        <v>33</v>
      </c>
      <c r="G108" s="13" t="s">
        <v>34</v>
      </c>
      <c r="H108" s="13">
        <v>3</v>
      </c>
      <c r="I108" s="13">
        <v>59.99</v>
      </c>
      <c r="J108" s="13" t="s">
        <v>35</v>
      </c>
      <c r="K108" s="13" t="s">
        <v>64</v>
      </c>
      <c r="L108" s="13" t="s">
        <v>37</v>
      </c>
      <c r="M108" s="14">
        <v>44748</v>
      </c>
      <c r="N108" s="13">
        <v>179.97</v>
      </c>
      <c r="O108" s="10"/>
      <c r="P108" s="13"/>
      <c r="Q108" s="10"/>
      <c r="R108" s="17">
        <f t="shared" ca="1" si="5"/>
        <v>1424</v>
      </c>
      <c r="S108" s="43">
        <f t="shared" si="3"/>
        <v>45565</v>
      </c>
      <c r="T108" s="44" t="str">
        <f t="shared" si="4"/>
        <v>Eas</v>
      </c>
      <c r="U108" s="13"/>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10"/>
      <c r="BJ108" s="10"/>
      <c r="BK108" s="10"/>
      <c r="BL108" s="10"/>
      <c r="BM108" s="10"/>
      <c r="BN108" s="10"/>
      <c r="BO108" s="10"/>
      <c r="BP108" s="10"/>
      <c r="BQ108" s="10"/>
      <c r="BR108" s="10"/>
      <c r="BS108" s="10"/>
      <c r="BT108" s="10"/>
      <c r="BU108" s="10"/>
      <c r="BV108" s="10"/>
      <c r="BW108" s="10"/>
      <c r="BX108" s="10"/>
      <c r="BY108" s="10"/>
      <c r="BZ108" s="10"/>
      <c r="CA108" s="10"/>
      <c r="CB108" s="10"/>
      <c r="CC108" s="10"/>
      <c r="CD108" s="10"/>
      <c r="CE108" s="10"/>
      <c r="CF108" s="10"/>
      <c r="CG108" s="10"/>
      <c r="CH108" s="10"/>
      <c r="CI108" s="10"/>
      <c r="CJ108" s="10"/>
      <c r="CK108" s="10"/>
      <c r="CL108" s="10"/>
      <c r="CM108" s="10"/>
      <c r="CN108" s="10"/>
      <c r="CO108" s="10"/>
      <c r="CP108" s="10"/>
      <c r="CQ108" s="10"/>
      <c r="CR108" s="10"/>
      <c r="CS108" s="10"/>
      <c r="CT108" s="10"/>
      <c r="CU108" s="10"/>
      <c r="CV108" s="10"/>
      <c r="CW108" s="10"/>
      <c r="CX108" s="10"/>
      <c r="CY108" s="10"/>
      <c r="CZ108" s="10"/>
      <c r="DA108" s="10"/>
      <c r="DB108" s="10"/>
      <c r="DC108" s="10"/>
      <c r="DD108" s="10"/>
      <c r="DE108" s="10"/>
      <c r="DF108" s="10"/>
      <c r="DG108" s="10"/>
      <c r="DH108" s="10"/>
    </row>
    <row r="109" spans="1:112" ht="15.75" customHeight="1" x14ac:dyDescent="0.3">
      <c r="A109" s="13" t="s">
        <v>242</v>
      </c>
      <c r="B109" s="14">
        <v>45544</v>
      </c>
      <c r="C109" s="13" t="s">
        <v>142</v>
      </c>
      <c r="D109" s="13" t="s">
        <v>143</v>
      </c>
      <c r="E109" s="13" t="s">
        <v>115</v>
      </c>
      <c r="F109" s="13" t="s">
        <v>116</v>
      </c>
      <c r="G109" s="13" t="s">
        <v>34</v>
      </c>
      <c r="H109" s="13">
        <v>4</v>
      </c>
      <c r="I109" s="13">
        <v>79.989999999999995</v>
      </c>
      <c r="J109" s="13" t="s">
        <v>21</v>
      </c>
      <c r="K109" s="13" t="s">
        <v>41</v>
      </c>
      <c r="L109" s="13" t="s">
        <v>23</v>
      </c>
      <c r="M109" s="14">
        <v>44530</v>
      </c>
      <c r="N109" s="13">
        <v>319.95999999999998</v>
      </c>
      <c r="O109" s="10"/>
      <c r="P109" s="13"/>
      <c r="Q109" s="10"/>
      <c r="R109" s="17">
        <f t="shared" ca="1" si="5"/>
        <v>1642</v>
      </c>
      <c r="S109" s="43">
        <f t="shared" si="3"/>
        <v>45565</v>
      </c>
      <c r="T109" s="44" t="str">
        <f t="shared" si="4"/>
        <v>Nor</v>
      </c>
      <c r="U109" s="13"/>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10"/>
      <c r="BJ109" s="10"/>
      <c r="BK109" s="10"/>
      <c r="BL109" s="10"/>
      <c r="BM109" s="10"/>
      <c r="BN109" s="10"/>
      <c r="BO109" s="10"/>
      <c r="BP109" s="10"/>
      <c r="BQ109" s="10"/>
      <c r="BR109" s="10"/>
      <c r="BS109" s="10"/>
      <c r="BT109" s="10"/>
      <c r="BU109" s="10"/>
      <c r="BV109" s="10"/>
      <c r="BW109" s="10"/>
      <c r="BX109" s="10"/>
      <c r="BY109" s="10"/>
      <c r="BZ109" s="10"/>
      <c r="CA109" s="10"/>
      <c r="CB109" s="10"/>
      <c r="CC109" s="10"/>
      <c r="CD109" s="10"/>
      <c r="CE109" s="10"/>
      <c r="CF109" s="10"/>
      <c r="CG109" s="10"/>
      <c r="CH109" s="10"/>
      <c r="CI109" s="10"/>
      <c r="CJ109" s="10"/>
      <c r="CK109" s="10"/>
      <c r="CL109" s="10"/>
      <c r="CM109" s="10"/>
      <c r="CN109" s="10"/>
      <c r="CO109" s="10"/>
      <c r="CP109" s="10"/>
      <c r="CQ109" s="10"/>
      <c r="CR109" s="10"/>
      <c r="CS109" s="10"/>
      <c r="CT109" s="10"/>
      <c r="CU109" s="10"/>
      <c r="CV109" s="10"/>
      <c r="CW109" s="10"/>
      <c r="CX109" s="10"/>
      <c r="CY109" s="10"/>
      <c r="CZ109" s="10"/>
      <c r="DA109" s="10"/>
      <c r="DB109" s="10"/>
      <c r="DC109" s="10"/>
      <c r="DD109" s="10"/>
      <c r="DE109" s="10"/>
      <c r="DF109" s="10"/>
      <c r="DG109" s="10"/>
      <c r="DH109" s="10"/>
    </row>
    <row r="110" spans="1:112" ht="15.75" customHeight="1" x14ac:dyDescent="0.3">
      <c r="A110" s="13" t="s">
        <v>243</v>
      </c>
      <c r="B110" s="14">
        <v>45545</v>
      </c>
      <c r="C110" s="13" t="s">
        <v>56</v>
      </c>
      <c r="D110" s="13" t="s">
        <v>57</v>
      </c>
      <c r="E110" s="13" t="s">
        <v>115</v>
      </c>
      <c r="F110" s="13" t="s">
        <v>116</v>
      </c>
      <c r="G110" s="13" t="s">
        <v>34</v>
      </c>
      <c r="H110" s="13">
        <v>1</v>
      </c>
      <c r="I110" s="13">
        <v>79.989999999999995</v>
      </c>
      <c r="J110" s="13" t="s">
        <v>21</v>
      </c>
      <c r="K110" s="13" t="s">
        <v>51</v>
      </c>
      <c r="L110" s="13" t="s">
        <v>23</v>
      </c>
      <c r="M110" s="14">
        <v>44693</v>
      </c>
      <c r="N110" s="13">
        <v>79.989999999999995</v>
      </c>
      <c r="O110" s="10"/>
      <c r="P110" s="13"/>
      <c r="Q110" s="10"/>
      <c r="R110" s="17">
        <f t="shared" ca="1" si="5"/>
        <v>1479</v>
      </c>
      <c r="S110" s="43">
        <f t="shared" si="3"/>
        <v>45565</v>
      </c>
      <c r="T110" s="44" t="str">
        <f t="shared" si="4"/>
        <v>Wes</v>
      </c>
      <c r="U110" s="13"/>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0"/>
      <c r="BC110" s="10"/>
      <c r="BD110" s="10"/>
      <c r="BE110" s="10"/>
      <c r="BF110" s="10"/>
      <c r="BG110" s="10"/>
      <c r="BH110" s="10"/>
      <c r="BI110" s="10"/>
      <c r="BJ110" s="10"/>
      <c r="BK110" s="10"/>
      <c r="BL110" s="10"/>
      <c r="BM110" s="10"/>
      <c r="BN110" s="10"/>
      <c r="BO110" s="10"/>
      <c r="BP110" s="10"/>
      <c r="BQ110" s="10"/>
      <c r="BR110" s="10"/>
      <c r="BS110" s="10"/>
      <c r="BT110" s="10"/>
      <c r="BU110" s="10"/>
      <c r="BV110" s="10"/>
      <c r="BW110" s="10"/>
      <c r="BX110" s="10"/>
      <c r="BY110" s="10"/>
      <c r="BZ110" s="10"/>
      <c r="CA110" s="10"/>
      <c r="CB110" s="10"/>
      <c r="CC110" s="10"/>
      <c r="CD110" s="10"/>
      <c r="CE110" s="10"/>
      <c r="CF110" s="10"/>
      <c r="CG110" s="10"/>
      <c r="CH110" s="10"/>
      <c r="CI110" s="10"/>
      <c r="CJ110" s="10"/>
      <c r="CK110" s="10"/>
      <c r="CL110" s="10"/>
      <c r="CM110" s="10"/>
      <c r="CN110" s="10"/>
      <c r="CO110" s="10"/>
      <c r="CP110" s="10"/>
      <c r="CQ110" s="10"/>
      <c r="CR110" s="10"/>
      <c r="CS110" s="10"/>
      <c r="CT110" s="10"/>
      <c r="CU110" s="10"/>
      <c r="CV110" s="10"/>
      <c r="CW110" s="10"/>
      <c r="CX110" s="10"/>
      <c r="CY110" s="10"/>
      <c r="CZ110" s="10"/>
      <c r="DA110" s="10"/>
      <c r="DB110" s="10"/>
      <c r="DC110" s="10"/>
      <c r="DD110" s="10"/>
      <c r="DE110" s="10"/>
      <c r="DF110" s="10"/>
      <c r="DG110" s="10"/>
      <c r="DH110" s="10"/>
    </row>
    <row r="111" spans="1:112" ht="15.75" customHeight="1" x14ac:dyDescent="0.3">
      <c r="A111" s="13" t="s">
        <v>244</v>
      </c>
      <c r="B111" s="14">
        <v>45547</v>
      </c>
      <c r="C111" s="13" t="s">
        <v>49</v>
      </c>
      <c r="D111" s="13" t="s">
        <v>50</v>
      </c>
      <c r="E111" s="13" t="s">
        <v>106</v>
      </c>
      <c r="F111" s="13" t="s">
        <v>107</v>
      </c>
      <c r="G111" s="13" t="s">
        <v>47</v>
      </c>
      <c r="H111" s="13">
        <v>3</v>
      </c>
      <c r="I111" s="13">
        <v>299.99</v>
      </c>
      <c r="J111" s="13" t="s">
        <v>27</v>
      </c>
      <c r="K111" s="13" t="s">
        <v>22</v>
      </c>
      <c r="L111" s="13" t="s">
        <v>28</v>
      </c>
      <c r="M111" s="14">
        <v>44494</v>
      </c>
      <c r="N111" s="13">
        <v>899.97</v>
      </c>
      <c r="O111" s="10"/>
      <c r="P111" s="13"/>
      <c r="Q111" s="10"/>
      <c r="R111" s="17">
        <f t="shared" ca="1" si="5"/>
        <v>1678</v>
      </c>
      <c r="S111" s="43">
        <f t="shared" si="3"/>
        <v>45565</v>
      </c>
      <c r="T111" s="44" t="str">
        <f t="shared" si="4"/>
        <v>Cen</v>
      </c>
      <c r="U111" s="13"/>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10"/>
      <c r="BJ111" s="10"/>
      <c r="BK111" s="10"/>
      <c r="BL111" s="10"/>
      <c r="BM111" s="10"/>
      <c r="BN111" s="10"/>
      <c r="BO111" s="10"/>
      <c r="BP111" s="10"/>
      <c r="BQ111" s="10"/>
      <c r="BR111" s="10"/>
      <c r="BS111" s="10"/>
      <c r="BT111" s="10"/>
      <c r="BU111" s="10"/>
      <c r="BV111" s="10"/>
      <c r="BW111" s="10"/>
      <c r="BX111" s="10"/>
      <c r="BY111" s="10"/>
      <c r="BZ111" s="10"/>
      <c r="CA111" s="10"/>
      <c r="CB111" s="10"/>
      <c r="CC111" s="10"/>
      <c r="CD111" s="10"/>
      <c r="CE111" s="10"/>
      <c r="CF111" s="10"/>
      <c r="CG111" s="10"/>
      <c r="CH111" s="10"/>
      <c r="CI111" s="10"/>
      <c r="CJ111" s="10"/>
      <c r="CK111" s="10"/>
      <c r="CL111" s="10"/>
      <c r="CM111" s="10"/>
      <c r="CN111" s="10"/>
      <c r="CO111" s="10"/>
      <c r="CP111" s="10"/>
      <c r="CQ111" s="10"/>
      <c r="CR111" s="10"/>
      <c r="CS111" s="10"/>
      <c r="CT111" s="10"/>
      <c r="CU111" s="10"/>
      <c r="CV111" s="10"/>
      <c r="CW111" s="10"/>
      <c r="CX111" s="10"/>
      <c r="CY111" s="10"/>
      <c r="CZ111" s="10"/>
      <c r="DA111" s="10"/>
      <c r="DB111" s="10"/>
      <c r="DC111" s="10"/>
      <c r="DD111" s="10"/>
      <c r="DE111" s="10"/>
      <c r="DF111" s="10"/>
      <c r="DG111" s="10"/>
      <c r="DH111" s="10"/>
    </row>
    <row r="112" spans="1:112" ht="15.75" customHeight="1" x14ac:dyDescent="0.3">
      <c r="A112" s="13" t="s">
        <v>245</v>
      </c>
      <c r="B112" s="14">
        <v>45548</v>
      </c>
      <c r="C112" s="13" t="s">
        <v>39</v>
      </c>
      <c r="D112" s="13" t="s">
        <v>40</v>
      </c>
      <c r="E112" s="13" t="s">
        <v>118</v>
      </c>
      <c r="F112" s="13" t="s">
        <v>119</v>
      </c>
      <c r="G112" s="13" t="s">
        <v>20</v>
      </c>
      <c r="H112" s="13">
        <v>2</v>
      </c>
      <c r="I112" s="13">
        <v>89.99</v>
      </c>
      <c r="J112" s="13" t="s">
        <v>27</v>
      </c>
      <c r="K112" s="13" t="s">
        <v>36</v>
      </c>
      <c r="L112" s="13" t="s">
        <v>28</v>
      </c>
      <c r="M112" s="14">
        <v>44641</v>
      </c>
      <c r="N112" s="13">
        <v>179.98</v>
      </c>
      <c r="O112" s="10"/>
      <c r="P112" s="13"/>
      <c r="Q112" s="10"/>
      <c r="R112" s="17">
        <f t="shared" ca="1" si="5"/>
        <v>1531</v>
      </c>
      <c r="S112" s="43">
        <f t="shared" si="3"/>
        <v>45565</v>
      </c>
      <c r="T112" s="44" t="str">
        <f t="shared" si="4"/>
        <v>Sou</v>
      </c>
      <c r="U112" s="13"/>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10"/>
      <c r="BJ112" s="10"/>
      <c r="BK112" s="10"/>
      <c r="BL112" s="10"/>
      <c r="BM112" s="10"/>
      <c r="BN112" s="10"/>
      <c r="BO112" s="10"/>
      <c r="BP112" s="10"/>
      <c r="BQ112" s="10"/>
      <c r="BR112" s="10"/>
      <c r="BS112" s="10"/>
      <c r="BT112" s="10"/>
      <c r="BU112" s="10"/>
      <c r="BV112" s="10"/>
      <c r="BW112" s="10"/>
      <c r="BX112" s="10"/>
      <c r="BY112" s="10"/>
      <c r="BZ112" s="10"/>
      <c r="CA112" s="10"/>
      <c r="CB112" s="10"/>
      <c r="CC112" s="10"/>
      <c r="CD112" s="10"/>
      <c r="CE112" s="10"/>
      <c r="CF112" s="10"/>
      <c r="CG112" s="10"/>
      <c r="CH112" s="10"/>
      <c r="CI112" s="10"/>
      <c r="CJ112" s="10"/>
      <c r="CK112" s="10"/>
      <c r="CL112" s="10"/>
      <c r="CM112" s="10"/>
      <c r="CN112" s="10"/>
      <c r="CO112" s="10"/>
      <c r="CP112" s="10"/>
      <c r="CQ112" s="10"/>
      <c r="CR112" s="10"/>
      <c r="CS112" s="10"/>
      <c r="CT112" s="10"/>
      <c r="CU112" s="10"/>
      <c r="CV112" s="10"/>
      <c r="CW112" s="10"/>
      <c r="CX112" s="10"/>
      <c r="CY112" s="10"/>
      <c r="CZ112" s="10"/>
      <c r="DA112" s="10"/>
      <c r="DB112" s="10"/>
      <c r="DC112" s="10"/>
      <c r="DD112" s="10"/>
      <c r="DE112" s="10"/>
      <c r="DF112" s="10"/>
      <c r="DG112" s="10"/>
      <c r="DH112" s="10"/>
    </row>
    <row r="113" spans="1:112" ht="15.75" customHeight="1" x14ac:dyDescent="0.3">
      <c r="A113" s="13" t="s">
        <v>246</v>
      </c>
      <c r="B113" s="14">
        <v>45550</v>
      </c>
      <c r="C113" s="13" t="s">
        <v>247</v>
      </c>
      <c r="D113" s="13" t="s">
        <v>248</v>
      </c>
      <c r="E113" s="13" t="s">
        <v>53</v>
      </c>
      <c r="F113" s="13" t="s">
        <v>54</v>
      </c>
      <c r="G113" s="13" t="s">
        <v>20</v>
      </c>
      <c r="H113" s="13">
        <v>4</v>
      </c>
      <c r="I113" s="13">
        <v>149.99</v>
      </c>
      <c r="J113" s="13" t="s">
        <v>21</v>
      </c>
      <c r="K113" s="13" t="s">
        <v>41</v>
      </c>
      <c r="L113" s="13" t="s">
        <v>23</v>
      </c>
      <c r="M113" s="14">
        <v>44909</v>
      </c>
      <c r="N113" s="13">
        <v>599.96</v>
      </c>
      <c r="O113" s="10"/>
      <c r="P113" s="13"/>
      <c r="Q113" s="10"/>
      <c r="R113" s="17">
        <f t="shared" ca="1" si="5"/>
        <v>1263</v>
      </c>
      <c r="S113" s="43">
        <f t="shared" si="3"/>
        <v>45565</v>
      </c>
      <c r="T113" s="44" t="str">
        <f t="shared" si="4"/>
        <v>Nor</v>
      </c>
      <c r="U113" s="13"/>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0"/>
      <c r="BC113" s="10"/>
      <c r="BD113" s="10"/>
      <c r="BE113" s="10"/>
      <c r="BF113" s="10"/>
      <c r="BG113" s="10"/>
      <c r="BH113" s="10"/>
      <c r="BI113" s="10"/>
      <c r="BJ113" s="10"/>
      <c r="BK113" s="10"/>
      <c r="BL113" s="10"/>
      <c r="BM113" s="10"/>
      <c r="BN113" s="10"/>
      <c r="BO113" s="10"/>
      <c r="BP113" s="10"/>
      <c r="BQ113" s="10"/>
      <c r="BR113" s="10"/>
      <c r="BS113" s="10"/>
      <c r="BT113" s="10"/>
      <c r="BU113" s="10"/>
      <c r="BV113" s="10"/>
      <c r="BW113" s="10"/>
      <c r="BX113" s="10"/>
      <c r="BY113" s="10"/>
      <c r="BZ113" s="10"/>
      <c r="CA113" s="10"/>
      <c r="CB113" s="10"/>
      <c r="CC113" s="10"/>
      <c r="CD113" s="10"/>
      <c r="CE113" s="10"/>
      <c r="CF113" s="10"/>
      <c r="CG113" s="10"/>
      <c r="CH113" s="10"/>
      <c r="CI113" s="10"/>
      <c r="CJ113" s="10"/>
      <c r="CK113" s="10"/>
      <c r="CL113" s="10"/>
      <c r="CM113" s="10"/>
      <c r="CN113" s="10"/>
      <c r="CO113" s="10"/>
      <c r="CP113" s="10"/>
      <c r="CQ113" s="10"/>
      <c r="CR113" s="10"/>
      <c r="CS113" s="10"/>
      <c r="CT113" s="10"/>
      <c r="CU113" s="10"/>
      <c r="CV113" s="10"/>
      <c r="CW113" s="10"/>
      <c r="CX113" s="10"/>
      <c r="CY113" s="10"/>
      <c r="CZ113" s="10"/>
      <c r="DA113" s="10"/>
      <c r="DB113" s="10"/>
      <c r="DC113" s="10"/>
      <c r="DD113" s="10"/>
      <c r="DE113" s="10"/>
      <c r="DF113" s="10"/>
      <c r="DG113" s="10"/>
      <c r="DH113" s="10"/>
    </row>
    <row r="114" spans="1:112" ht="15.75" customHeight="1" x14ac:dyDescent="0.3">
      <c r="A114" s="13" t="s">
        <v>249</v>
      </c>
      <c r="B114" s="14">
        <v>45551</v>
      </c>
      <c r="C114" s="13" t="s">
        <v>66</v>
      </c>
      <c r="D114" s="13" t="s">
        <v>67</v>
      </c>
      <c r="E114" s="13" t="s">
        <v>18</v>
      </c>
      <c r="F114" s="13" t="s">
        <v>19</v>
      </c>
      <c r="G114" s="13" t="s">
        <v>20</v>
      </c>
      <c r="H114" s="13">
        <v>2</v>
      </c>
      <c r="I114" s="13">
        <v>249.99</v>
      </c>
      <c r="J114" s="13" t="s">
        <v>35</v>
      </c>
      <c r="K114" s="13" t="s">
        <v>36</v>
      </c>
      <c r="L114" s="13" t="s">
        <v>23</v>
      </c>
      <c r="M114" s="14">
        <v>44993</v>
      </c>
      <c r="N114" s="13">
        <v>499.98</v>
      </c>
      <c r="O114" s="10"/>
      <c r="P114" s="13"/>
      <c r="Q114" s="10"/>
      <c r="R114" s="17">
        <f t="shared" ca="1" si="5"/>
        <v>1179</v>
      </c>
      <c r="S114" s="43">
        <f t="shared" si="3"/>
        <v>45565</v>
      </c>
      <c r="T114" s="44" t="str">
        <f t="shared" si="4"/>
        <v>Sou</v>
      </c>
      <c r="U114" s="13"/>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10"/>
      <c r="BJ114" s="10"/>
      <c r="BK114" s="10"/>
      <c r="BL114" s="10"/>
      <c r="BM114" s="10"/>
      <c r="BN114" s="10"/>
      <c r="BO114" s="10"/>
      <c r="BP114" s="10"/>
      <c r="BQ114" s="10"/>
      <c r="BR114" s="10"/>
      <c r="BS114" s="10"/>
      <c r="BT114" s="10"/>
      <c r="BU114" s="10"/>
      <c r="BV114" s="10"/>
      <c r="BW114" s="10"/>
      <c r="BX114" s="10"/>
      <c r="BY114" s="10"/>
      <c r="BZ114" s="10"/>
      <c r="CA114" s="10"/>
      <c r="CB114" s="10"/>
      <c r="CC114" s="10"/>
      <c r="CD114" s="10"/>
      <c r="CE114" s="10"/>
      <c r="CF114" s="10"/>
      <c r="CG114" s="10"/>
      <c r="CH114" s="10"/>
      <c r="CI114" s="10"/>
      <c r="CJ114" s="10"/>
      <c r="CK114" s="10"/>
      <c r="CL114" s="10"/>
      <c r="CM114" s="10"/>
      <c r="CN114" s="10"/>
      <c r="CO114" s="10"/>
      <c r="CP114" s="10"/>
      <c r="CQ114" s="10"/>
      <c r="CR114" s="10"/>
      <c r="CS114" s="10"/>
      <c r="CT114" s="10"/>
      <c r="CU114" s="10"/>
      <c r="CV114" s="10"/>
      <c r="CW114" s="10"/>
      <c r="CX114" s="10"/>
      <c r="CY114" s="10"/>
      <c r="CZ114" s="10"/>
      <c r="DA114" s="10"/>
      <c r="DB114" s="10"/>
      <c r="DC114" s="10"/>
      <c r="DD114" s="10"/>
      <c r="DE114" s="10"/>
      <c r="DF114" s="10"/>
      <c r="DG114" s="10"/>
      <c r="DH114" s="10"/>
    </row>
    <row r="115" spans="1:112" ht="15.75" customHeight="1" x14ac:dyDescent="0.3">
      <c r="A115" s="13" t="s">
        <v>250</v>
      </c>
      <c r="B115" s="14">
        <v>45551</v>
      </c>
      <c r="C115" s="13" t="s">
        <v>155</v>
      </c>
      <c r="D115" s="13" t="s">
        <v>156</v>
      </c>
      <c r="E115" s="13" t="s">
        <v>127</v>
      </c>
      <c r="F115" s="13" t="s">
        <v>128</v>
      </c>
      <c r="G115" s="13" t="s">
        <v>47</v>
      </c>
      <c r="H115" s="13">
        <v>4</v>
      </c>
      <c r="I115" s="13">
        <v>199.99</v>
      </c>
      <c r="J115" s="13" t="s">
        <v>58</v>
      </c>
      <c r="K115" s="13" t="s">
        <v>64</v>
      </c>
      <c r="L115" s="13" t="s">
        <v>23</v>
      </c>
      <c r="M115" s="14">
        <v>44458</v>
      </c>
      <c r="N115" s="13">
        <v>799.96</v>
      </c>
      <c r="O115" s="10"/>
      <c r="P115" s="13"/>
      <c r="Q115" s="10"/>
      <c r="R115" s="17">
        <f t="shared" ca="1" si="5"/>
        <v>1714</v>
      </c>
      <c r="S115" s="43">
        <f t="shared" si="3"/>
        <v>45565</v>
      </c>
      <c r="T115" s="44" t="str">
        <f t="shared" si="4"/>
        <v>Eas</v>
      </c>
      <c r="U115" s="13"/>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10"/>
      <c r="BJ115" s="10"/>
      <c r="BK115" s="10"/>
      <c r="BL115" s="10"/>
      <c r="BM115" s="10"/>
      <c r="BN115" s="10"/>
      <c r="BO115" s="10"/>
      <c r="BP115" s="10"/>
      <c r="BQ115" s="10"/>
      <c r="BR115" s="10"/>
      <c r="BS115" s="10"/>
      <c r="BT115" s="10"/>
      <c r="BU115" s="10"/>
      <c r="BV115" s="10"/>
      <c r="BW115" s="10"/>
      <c r="BX115" s="10"/>
      <c r="BY115" s="10"/>
      <c r="BZ115" s="10"/>
      <c r="CA115" s="10"/>
      <c r="CB115" s="10"/>
      <c r="CC115" s="10"/>
      <c r="CD115" s="10"/>
      <c r="CE115" s="10"/>
      <c r="CF115" s="10"/>
      <c r="CG115" s="10"/>
      <c r="CH115" s="10"/>
      <c r="CI115" s="10"/>
      <c r="CJ115" s="10"/>
      <c r="CK115" s="10"/>
      <c r="CL115" s="10"/>
      <c r="CM115" s="10"/>
      <c r="CN115" s="10"/>
      <c r="CO115" s="10"/>
      <c r="CP115" s="10"/>
      <c r="CQ115" s="10"/>
      <c r="CR115" s="10"/>
      <c r="CS115" s="10"/>
      <c r="CT115" s="10"/>
      <c r="CU115" s="10"/>
      <c r="CV115" s="10"/>
      <c r="CW115" s="10"/>
      <c r="CX115" s="10"/>
      <c r="CY115" s="10"/>
      <c r="CZ115" s="10"/>
      <c r="DA115" s="10"/>
      <c r="DB115" s="10"/>
      <c r="DC115" s="10"/>
      <c r="DD115" s="10"/>
      <c r="DE115" s="10"/>
      <c r="DF115" s="10"/>
      <c r="DG115" s="10"/>
      <c r="DH115" s="10"/>
    </row>
    <row r="116" spans="1:112" ht="15.75" customHeight="1" x14ac:dyDescent="0.3">
      <c r="A116" s="13" t="s">
        <v>251</v>
      </c>
      <c r="B116" s="14">
        <v>45554</v>
      </c>
      <c r="C116" s="13" t="s">
        <v>148</v>
      </c>
      <c r="D116" s="13" t="s">
        <v>149</v>
      </c>
      <c r="E116" s="13" t="s">
        <v>118</v>
      </c>
      <c r="F116" s="13" t="s">
        <v>119</v>
      </c>
      <c r="G116" s="13" t="s">
        <v>20</v>
      </c>
      <c r="H116" s="13">
        <v>5</v>
      </c>
      <c r="I116" s="13">
        <v>89.99</v>
      </c>
      <c r="J116" s="13" t="s">
        <v>27</v>
      </c>
      <c r="K116" s="13" t="s">
        <v>64</v>
      </c>
      <c r="L116" s="13" t="s">
        <v>28</v>
      </c>
      <c r="M116" s="14">
        <v>44446</v>
      </c>
      <c r="N116" s="13">
        <v>449.95</v>
      </c>
      <c r="O116" s="10"/>
      <c r="P116" s="13"/>
      <c r="Q116" s="10"/>
      <c r="R116" s="17">
        <f t="shared" ca="1" si="5"/>
        <v>1726</v>
      </c>
      <c r="S116" s="43">
        <f t="shared" si="3"/>
        <v>45565</v>
      </c>
      <c r="T116" s="44" t="str">
        <f t="shared" si="4"/>
        <v>Eas</v>
      </c>
      <c r="U116" s="13"/>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10"/>
      <c r="BJ116" s="10"/>
      <c r="BK116" s="10"/>
      <c r="BL116" s="10"/>
      <c r="BM116" s="10"/>
      <c r="BN116" s="10"/>
      <c r="BO116" s="10"/>
      <c r="BP116" s="10"/>
      <c r="BQ116" s="10"/>
      <c r="BR116" s="10"/>
      <c r="BS116" s="10"/>
      <c r="BT116" s="10"/>
      <c r="BU116" s="10"/>
      <c r="BV116" s="10"/>
      <c r="BW116" s="10"/>
      <c r="BX116" s="10"/>
      <c r="BY116" s="10"/>
      <c r="BZ116" s="10"/>
      <c r="CA116" s="10"/>
      <c r="CB116" s="10"/>
      <c r="CC116" s="10"/>
      <c r="CD116" s="10"/>
      <c r="CE116" s="10"/>
      <c r="CF116" s="10"/>
      <c r="CG116" s="10"/>
      <c r="CH116" s="10"/>
      <c r="CI116" s="10"/>
      <c r="CJ116" s="10"/>
      <c r="CK116" s="10"/>
      <c r="CL116" s="10"/>
      <c r="CM116" s="10"/>
      <c r="CN116" s="10"/>
      <c r="CO116" s="10"/>
      <c r="CP116" s="10"/>
      <c r="CQ116" s="10"/>
      <c r="CR116" s="10"/>
      <c r="CS116" s="10"/>
      <c r="CT116" s="10"/>
      <c r="CU116" s="10"/>
      <c r="CV116" s="10"/>
      <c r="CW116" s="10"/>
      <c r="CX116" s="10"/>
      <c r="CY116" s="10"/>
      <c r="CZ116" s="10"/>
      <c r="DA116" s="10"/>
      <c r="DB116" s="10"/>
      <c r="DC116" s="10"/>
      <c r="DD116" s="10"/>
      <c r="DE116" s="10"/>
      <c r="DF116" s="10"/>
      <c r="DG116" s="10"/>
      <c r="DH116" s="10"/>
    </row>
    <row r="117" spans="1:112" ht="15.75" customHeight="1" x14ac:dyDescent="0.3">
      <c r="A117" s="13" t="s">
        <v>252</v>
      </c>
      <c r="B117" s="14">
        <v>45554</v>
      </c>
      <c r="C117" s="13" t="s">
        <v>253</v>
      </c>
      <c r="D117" s="13" t="s">
        <v>254</v>
      </c>
      <c r="E117" s="13" t="s">
        <v>53</v>
      </c>
      <c r="F117" s="13" t="s">
        <v>54</v>
      </c>
      <c r="G117" s="13" t="s">
        <v>20</v>
      </c>
      <c r="H117" s="13">
        <v>1</v>
      </c>
      <c r="I117" s="13">
        <v>149.99</v>
      </c>
      <c r="J117" s="13" t="s">
        <v>35</v>
      </c>
      <c r="K117" s="13" t="s">
        <v>64</v>
      </c>
      <c r="L117" s="13" t="s">
        <v>37</v>
      </c>
      <c r="M117" s="14">
        <v>44482</v>
      </c>
      <c r="N117" s="13">
        <v>149.99</v>
      </c>
      <c r="O117" s="10"/>
      <c r="P117" s="13"/>
      <c r="Q117" s="10"/>
      <c r="R117" s="17">
        <f t="shared" ca="1" si="5"/>
        <v>1690</v>
      </c>
      <c r="S117" s="43">
        <f t="shared" si="3"/>
        <v>45565</v>
      </c>
      <c r="T117" s="44" t="str">
        <f t="shared" si="4"/>
        <v>Eas</v>
      </c>
      <c r="U117" s="13"/>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10"/>
      <c r="BJ117" s="10"/>
      <c r="BK117" s="10"/>
      <c r="BL117" s="10"/>
      <c r="BM117" s="10"/>
      <c r="BN117" s="10"/>
      <c r="BO117" s="10"/>
      <c r="BP117" s="10"/>
      <c r="BQ117" s="10"/>
      <c r="BR117" s="10"/>
      <c r="BS117" s="10"/>
      <c r="BT117" s="10"/>
      <c r="BU117" s="10"/>
      <c r="BV117" s="10"/>
      <c r="BW117" s="10"/>
      <c r="BX117" s="10"/>
      <c r="BY117" s="10"/>
      <c r="BZ117" s="10"/>
      <c r="CA117" s="10"/>
      <c r="CB117" s="10"/>
      <c r="CC117" s="10"/>
      <c r="CD117" s="10"/>
      <c r="CE117" s="10"/>
      <c r="CF117" s="10"/>
      <c r="CG117" s="10"/>
      <c r="CH117" s="10"/>
      <c r="CI117" s="10"/>
      <c r="CJ117" s="10"/>
      <c r="CK117" s="10"/>
      <c r="CL117" s="10"/>
      <c r="CM117" s="10"/>
      <c r="CN117" s="10"/>
      <c r="CO117" s="10"/>
      <c r="CP117" s="10"/>
      <c r="CQ117" s="10"/>
      <c r="CR117" s="10"/>
      <c r="CS117" s="10"/>
      <c r="CT117" s="10"/>
      <c r="CU117" s="10"/>
      <c r="CV117" s="10"/>
      <c r="CW117" s="10"/>
      <c r="CX117" s="10"/>
      <c r="CY117" s="10"/>
      <c r="CZ117" s="10"/>
      <c r="DA117" s="10"/>
      <c r="DB117" s="10"/>
      <c r="DC117" s="10"/>
      <c r="DD117" s="10"/>
      <c r="DE117" s="10"/>
      <c r="DF117" s="10"/>
      <c r="DG117" s="10"/>
      <c r="DH117" s="10"/>
    </row>
    <row r="118" spans="1:112" ht="15.75" customHeight="1" x14ac:dyDescent="0.3">
      <c r="A118" s="13" t="s">
        <v>255</v>
      </c>
      <c r="B118" s="14">
        <v>45554</v>
      </c>
      <c r="C118" s="13" t="s">
        <v>73</v>
      </c>
      <c r="D118" s="13" t="s">
        <v>74</v>
      </c>
      <c r="E118" s="13" t="s">
        <v>81</v>
      </c>
      <c r="F118" s="13" t="s">
        <v>82</v>
      </c>
      <c r="G118" s="13" t="s">
        <v>20</v>
      </c>
      <c r="H118" s="13">
        <v>4</v>
      </c>
      <c r="I118" s="13">
        <v>699.99</v>
      </c>
      <c r="J118" s="13" t="s">
        <v>35</v>
      </c>
      <c r="K118" s="13" t="s">
        <v>36</v>
      </c>
      <c r="L118" s="13" t="s">
        <v>23</v>
      </c>
      <c r="M118" s="14">
        <v>44618</v>
      </c>
      <c r="N118" s="13">
        <v>2799.96</v>
      </c>
      <c r="O118" s="10"/>
      <c r="P118" s="13"/>
      <c r="Q118" s="10"/>
      <c r="R118" s="17">
        <f t="shared" ca="1" si="5"/>
        <v>1554</v>
      </c>
      <c r="S118" s="43">
        <f t="shared" si="3"/>
        <v>45565</v>
      </c>
      <c r="T118" s="44" t="str">
        <f t="shared" si="4"/>
        <v>Sou</v>
      </c>
      <c r="U118" s="13"/>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10"/>
      <c r="BJ118" s="10"/>
      <c r="BK118" s="10"/>
      <c r="BL118" s="10"/>
      <c r="BM118" s="10"/>
      <c r="BN118" s="10"/>
      <c r="BO118" s="10"/>
      <c r="BP118" s="10"/>
      <c r="BQ118" s="10"/>
      <c r="BR118" s="10"/>
      <c r="BS118" s="10"/>
      <c r="BT118" s="10"/>
      <c r="BU118" s="10"/>
      <c r="BV118" s="10"/>
      <c r="BW118" s="10"/>
      <c r="BX118" s="10"/>
      <c r="BY118" s="10"/>
      <c r="BZ118" s="10"/>
      <c r="CA118" s="10"/>
      <c r="CB118" s="10"/>
      <c r="CC118" s="10"/>
      <c r="CD118" s="10"/>
      <c r="CE118" s="10"/>
      <c r="CF118" s="10"/>
      <c r="CG118" s="10"/>
      <c r="CH118" s="10"/>
      <c r="CI118" s="10"/>
      <c r="CJ118" s="10"/>
      <c r="CK118" s="10"/>
      <c r="CL118" s="10"/>
      <c r="CM118" s="10"/>
      <c r="CN118" s="10"/>
      <c r="CO118" s="10"/>
      <c r="CP118" s="10"/>
      <c r="CQ118" s="10"/>
      <c r="CR118" s="10"/>
      <c r="CS118" s="10"/>
      <c r="CT118" s="10"/>
      <c r="CU118" s="10"/>
      <c r="CV118" s="10"/>
      <c r="CW118" s="10"/>
      <c r="CX118" s="10"/>
      <c r="CY118" s="10"/>
      <c r="CZ118" s="10"/>
      <c r="DA118" s="10"/>
      <c r="DB118" s="10"/>
      <c r="DC118" s="10"/>
      <c r="DD118" s="10"/>
      <c r="DE118" s="10"/>
      <c r="DF118" s="10"/>
      <c r="DG118" s="10"/>
      <c r="DH118" s="10"/>
    </row>
    <row r="119" spans="1:112" ht="15.75" customHeight="1" x14ac:dyDescent="0.3">
      <c r="A119" s="13" t="s">
        <v>256</v>
      </c>
      <c r="B119" s="14">
        <v>45559</v>
      </c>
      <c r="C119" s="13" t="s">
        <v>235</v>
      </c>
      <c r="D119" s="13" t="s">
        <v>236</v>
      </c>
      <c r="E119" s="13" t="s">
        <v>62</v>
      </c>
      <c r="F119" s="13" t="s">
        <v>63</v>
      </c>
      <c r="G119" s="13" t="s">
        <v>20</v>
      </c>
      <c r="H119" s="13">
        <v>3</v>
      </c>
      <c r="I119" s="13">
        <v>899.99</v>
      </c>
      <c r="J119" s="13" t="s">
        <v>27</v>
      </c>
      <c r="K119" s="13" t="s">
        <v>41</v>
      </c>
      <c r="L119" s="13" t="s">
        <v>37</v>
      </c>
      <c r="M119" s="14">
        <v>45157</v>
      </c>
      <c r="N119" s="13">
        <v>2699.97</v>
      </c>
      <c r="O119" s="10"/>
      <c r="P119" s="13"/>
      <c r="Q119" s="10"/>
      <c r="R119" s="17">
        <f t="shared" ca="1" si="5"/>
        <v>1015</v>
      </c>
      <c r="S119" s="43">
        <f t="shared" si="3"/>
        <v>45565</v>
      </c>
      <c r="T119" s="44" t="str">
        <f t="shared" si="4"/>
        <v>Nor</v>
      </c>
      <c r="U119" s="13"/>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10"/>
      <c r="BJ119" s="10"/>
      <c r="BK119" s="10"/>
      <c r="BL119" s="10"/>
      <c r="BM119" s="10"/>
      <c r="BN119" s="10"/>
      <c r="BO119" s="10"/>
      <c r="BP119" s="10"/>
      <c r="BQ119" s="10"/>
      <c r="BR119" s="10"/>
      <c r="BS119" s="10"/>
      <c r="BT119" s="10"/>
      <c r="BU119" s="10"/>
      <c r="BV119" s="10"/>
      <c r="BW119" s="10"/>
      <c r="BX119" s="10"/>
      <c r="BY119" s="10"/>
      <c r="BZ119" s="10"/>
      <c r="CA119" s="10"/>
      <c r="CB119" s="10"/>
      <c r="CC119" s="10"/>
      <c r="CD119" s="10"/>
      <c r="CE119" s="10"/>
      <c r="CF119" s="10"/>
      <c r="CG119" s="10"/>
      <c r="CH119" s="10"/>
      <c r="CI119" s="10"/>
      <c r="CJ119" s="10"/>
      <c r="CK119" s="10"/>
      <c r="CL119" s="10"/>
      <c r="CM119" s="10"/>
      <c r="CN119" s="10"/>
      <c r="CO119" s="10"/>
      <c r="CP119" s="10"/>
      <c r="CQ119" s="10"/>
      <c r="CR119" s="10"/>
      <c r="CS119" s="10"/>
      <c r="CT119" s="10"/>
      <c r="CU119" s="10"/>
      <c r="CV119" s="10"/>
      <c r="CW119" s="10"/>
      <c r="CX119" s="10"/>
      <c r="CY119" s="10"/>
      <c r="CZ119" s="10"/>
      <c r="DA119" s="10"/>
      <c r="DB119" s="10"/>
      <c r="DC119" s="10"/>
      <c r="DD119" s="10"/>
      <c r="DE119" s="10"/>
      <c r="DF119" s="10"/>
      <c r="DG119" s="10"/>
      <c r="DH119" s="10"/>
    </row>
    <row r="120" spans="1:112" ht="15.75" customHeight="1" x14ac:dyDescent="0.3">
      <c r="A120" s="13" t="s">
        <v>257</v>
      </c>
      <c r="B120" s="14">
        <v>45560</v>
      </c>
      <c r="C120" s="13" t="s">
        <v>113</v>
      </c>
      <c r="D120" s="13" t="s">
        <v>114</v>
      </c>
      <c r="E120" s="13" t="s">
        <v>45</v>
      </c>
      <c r="F120" s="13" t="s">
        <v>46</v>
      </c>
      <c r="G120" s="13" t="s">
        <v>47</v>
      </c>
      <c r="H120" s="13">
        <v>3</v>
      </c>
      <c r="I120" s="13">
        <v>149.99</v>
      </c>
      <c r="J120" s="13" t="s">
        <v>35</v>
      </c>
      <c r="K120" s="13" t="s">
        <v>64</v>
      </c>
      <c r="L120" s="13" t="s">
        <v>23</v>
      </c>
      <c r="M120" s="14">
        <v>44886</v>
      </c>
      <c r="N120" s="13">
        <v>449.97</v>
      </c>
      <c r="O120" s="10"/>
      <c r="P120" s="13"/>
      <c r="Q120" s="10"/>
      <c r="R120" s="17">
        <f t="shared" ca="1" si="5"/>
        <v>1286</v>
      </c>
      <c r="S120" s="43">
        <f t="shared" si="3"/>
        <v>45565</v>
      </c>
      <c r="T120" s="44" t="str">
        <f t="shared" si="4"/>
        <v>Eas</v>
      </c>
      <c r="U120" s="13"/>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10"/>
      <c r="BJ120" s="10"/>
      <c r="BK120" s="10"/>
      <c r="BL120" s="10"/>
      <c r="BM120" s="10"/>
      <c r="BN120" s="10"/>
      <c r="BO120" s="10"/>
      <c r="BP120" s="10"/>
      <c r="BQ120" s="10"/>
      <c r="BR120" s="10"/>
      <c r="BS120" s="10"/>
      <c r="BT120" s="10"/>
      <c r="BU120" s="10"/>
      <c r="BV120" s="10"/>
      <c r="BW120" s="10"/>
      <c r="BX120" s="10"/>
      <c r="BY120" s="10"/>
      <c r="BZ120" s="10"/>
      <c r="CA120" s="10"/>
      <c r="CB120" s="10"/>
      <c r="CC120" s="10"/>
      <c r="CD120" s="10"/>
      <c r="CE120" s="10"/>
      <c r="CF120" s="10"/>
      <c r="CG120" s="10"/>
      <c r="CH120" s="10"/>
      <c r="CI120" s="10"/>
      <c r="CJ120" s="10"/>
      <c r="CK120" s="10"/>
      <c r="CL120" s="10"/>
      <c r="CM120" s="10"/>
      <c r="CN120" s="10"/>
      <c r="CO120" s="10"/>
      <c r="CP120" s="10"/>
      <c r="CQ120" s="10"/>
      <c r="CR120" s="10"/>
      <c r="CS120" s="10"/>
      <c r="CT120" s="10"/>
      <c r="CU120" s="10"/>
      <c r="CV120" s="10"/>
      <c r="CW120" s="10"/>
      <c r="CX120" s="10"/>
      <c r="CY120" s="10"/>
      <c r="CZ120" s="10"/>
      <c r="DA120" s="10"/>
      <c r="DB120" s="10"/>
      <c r="DC120" s="10"/>
      <c r="DD120" s="10"/>
      <c r="DE120" s="10"/>
      <c r="DF120" s="10"/>
      <c r="DG120" s="10"/>
      <c r="DH120" s="10"/>
    </row>
    <row r="121" spans="1:112" ht="15.75" customHeight="1" x14ac:dyDescent="0.3">
      <c r="A121" s="13" t="s">
        <v>258</v>
      </c>
      <c r="B121" s="14">
        <v>45563</v>
      </c>
      <c r="C121" s="13" t="s">
        <v>100</v>
      </c>
      <c r="D121" s="13" t="s">
        <v>101</v>
      </c>
      <c r="E121" s="13" t="s">
        <v>106</v>
      </c>
      <c r="F121" s="13" t="s">
        <v>107</v>
      </c>
      <c r="G121" s="13" t="s">
        <v>47</v>
      </c>
      <c r="H121" s="13">
        <v>2</v>
      </c>
      <c r="I121" s="13">
        <v>299.99</v>
      </c>
      <c r="J121" s="13" t="s">
        <v>58</v>
      </c>
      <c r="K121" s="13" t="s">
        <v>22</v>
      </c>
      <c r="L121" s="13" t="s">
        <v>23</v>
      </c>
      <c r="M121" s="14">
        <v>44569</v>
      </c>
      <c r="N121" s="13">
        <v>599.98</v>
      </c>
      <c r="O121" s="10"/>
      <c r="P121" s="13"/>
      <c r="Q121" s="10"/>
      <c r="R121" s="17">
        <f t="shared" ca="1" si="5"/>
        <v>1603</v>
      </c>
      <c r="S121" s="43">
        <f t="shared" si="3"/>
        <v>45565</v>
      </c>
      <c r="T121" s="44" t="str">
        <f t="shared" si="4"/>
        <v>Cen</v>
      </c>
      <c r="U121" s="13"/>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10"/>
      <c r="BJ121" s="10"/>
      <c r="BK121" s="10"/>
      <c r="BL121" s="10"/>
      <c r="BM121" s="10"/>
      <c r="BN121" s="10"/>
      <c r="BO121" s="10"/>
      <c r="BP121" s="10"/>
      <c r="BQ121" s="10"/>
      <c r="BR121" s="10"/>
      <c r="BS121" s="10"/>
      <c r="BT121" s="10"/>
      <c r="BU121" s="10"/>
      <c r="BV121" s="10"/>
      <c r="BW121" s="10"/>
      <c r="BX121" s="10"/>
      <c r="BY121" s="10"/>
      <c r="BZ121" s="10"/>
      <c r="CA121" s="10"/>
      <c r="CB121" s="10"/>
      <c r="CC121" s="10"/>
      <c r="CD121" s="10"/>
      <c r="CE121" s="10"/>
      <c r="CF121" s="10"/>
      <c r="CG121" s="10"/>
      <c r="CH121" s="10"/>
      <c r="CI121" s="10"/>
      <c r="CJ121" s="10"/>
      <c r="CK121" s="10"/>
      <c r="CL121" s="10"/>
      <c r="CM121" s="10"/>
      <c r="CN121" s="10"/>
      <c r="CO121" s="10"/>
      <c r="CP121" s="10"/>
      <c r="CQ121" s="10"/>
      <c r="CR121" s="10"/>
      <c r="CS121" s="10"/>
      <c r="CT121" s="10"/>
      <c r="CU121" s="10"/>
      <c r="CV121" s="10"/>
      <c r="CW121" s="10"/>
      <c r="CX121" s="10"/>
      <c r="CY121" s="10"/>
      <c r="CZ121" s="10"/>
      <c r="DA121" s="10"/>
      <c r="DB121" s="10"/>
      <c r="DC121" s="10"/>
      <c r="DD121" s="10"/>
      <c r="DE121" s="10"/>
      <c r="DF121" s="10"/>
      <c r="DG121" s="10"/>
      <c r="DH121" s="10"/>
    </row>
    <row r="122" spans="1:112" ht="15.75" customHeight="1" x14ac:dyDescent="0.3">
      <c r="A122" s="13" t="s">
        <v>259</v>
      </c>
      <c r="B122" s="14">
        <v>45564</v>
      </c>
      <c r="C122" s="13" t="s">
        <v>260</v>
      </c>
      <c r="D122" s="13" t="s">
        <v>261</v>
      </c>
      <c r="E122" s="13" t="s">
        <v>127</v>
      </c>
      <c r="F122" s="13" t="s">
        <v>128</v>
      </c>
      <c r="G122" s="13" t="s">
        <v>47</v>
      </c>
      <c r="H122" s="13">
        <v>1</v>
      </c>
      <c r="I122" s="13">
        <v>199.99</v>
      </c>
      <c r="J122" s="13" t="s">
        <v>58</v>
      </c>
      <c r="K122" s="13" t="s">
        <v>64</v>
      </c>
      <c r="L122" s="13" t="s">
        <v>37</v>
      </c>
      <c r="M122" s="14">
        <v>44953</v>
      </c>
      <c r="N122" s="13">
        <v>199.99</v>
      </c>
      <c r="O122" s="10"/>
      <c r="P122" s="13"/>
      <c r="Q122" s="10"/>
      <c r="R122" s="17">
        <f t="shared" ca="1" si="5"/>
        <v>1219</v>
      </c>
      <c r="S122" s="43">
        <f t="shared" si="3"/>
        <v>45565</v>
      </c>
      <c r="T122" s="44" t="str">
        <f t="shared" si="4"/>
        <v>Eas</v>
      </c>
      <c r="U122" s="13"/>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10"/>
      <c r="BJ122" s="10"/>
      <c r="BK122" s="10"/>
      <c r="BL122" s="10"/>
      <c r="BM122" s="10"/>
      <c r="BN122" s="10"/>
      <c r="BO122" s="10"/>
      <c r="BP122" s="10"/>
      <c r="BQ122" s="10"/>
      <c r="BR122" s="10"/>
      <c r="BS122" s="10"/>
      <c r="BT122" s="10"/>
      <c r="BU122" s="10"/>
      <c r="BV122" s="10"/>
      <c r="BW122" s="10"/>
      <c r="BX122" s="10"/>
      <c r="BY122" s="10"/>
      <c r="BZ122" s="10"/>
      <c r="CA122" s="10"/>
      <c r="CB122" s="10"/>
      <c r="CC122" s="10"/>
      <c r="CD122" s="10"/>
      <c r="CE122" s="10"/>
      <c r="CF122" s="10"/>
      <c r="CG122" s="10"/>
      <c r="CH122" s="10"/>
      <c r="CI122" s="10"/>
      <c r="CJ122" s="10"/>
      <c r="CK122" s="10"/>
      <c r="CL122" s="10"/>
      <c r="CM122" s="10"/>
      <c r="CN122" s="10"/>
      <c r="CO122" s="10"/>
      <c r="CP122" s="10"/>
      <c r="CQ122" s="10"/>
      <c r="CR122" s="10"/>
      <c r="CS122" s="10"/>
      <c r="CT122" s="10"/>
      <c r="CU122" s="10"/>
      <c r="CV122" s="10"/>
      <c r="CW122" s="10"/>
      <c r="CX122" s="10"/>
      <c r="CY122" s="10"/>
      <c r="CZ122" s="10"/>
      <c r="DA122" s="10"/>
      <c r="DB122" s="10"/>
      <c r="DC122" s="10"/>
      <c r="DD122" s="10"/>
      <c r="DE122" s="10"/>
      <c r="DF122" s="10"/>
      <c r="DG122" s="10"/>
      <c r="DH122" s="10"/>
    </row>
    <row r="123" spans="1:112" ht="15.75" customHeight="1" x14ac:dyDescent="0.3">
      <c r="A123" s="13" t="s">
        <v>262</v>
      </c>
      <c r="B123" s="14">
        <v>45566</v>
      </c>
      <c r="C123" s="13" t="s">
        <v>43</v>
      </c>
      <c r="D123" s="13" t="s">
        <v>44</v>
      </c>
      <c r="E123" s="13" t="s">
        <v>106</v>
      </c>
      <c r="F123" s="13" t="s">
        <v>107</v>
      </c>
      <c r="G123" s="13" t="s">
        <v>47</v>
      </c>
      <c r="H123" s="13">
        <v>4</v>
      </c>
      <c r="I123" s="13">
        <v>299.99</v>
      </c>
      <c r="J123" s="13" t="s">
        <v>21</v>
      </c>
      <c r="K123" s="13" t="s">
        <v>22</v>
      </c>
      <c r="L123" s="13" t="s">
        <v>28</v>
      </c>
      <c r="M123" s="14">
        <v>44460</v>
      </c>
      <c r="N123" s="13">
        <v>1199.96</v>
      </c>
      <c r="O123" s="10"/>
      <c r="P123" s="13"/>
      <c r="Q123" s="10"/>
      <c r="R123" s="17">
        <f t="shared" ca="1" si="5"/>
        <v>1712</v>
      </c>
      <c r="S123" s="43">
        <f t="shared" si="3"/>
        <v>45596</v>
      </c>
      <c r="T123" s="44" t="str">
        <f t="shared" si="4"/>
        <v>Cen</v>
      </c>
      <c r="U123" s="13"/>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10"/>
      <c r="BJ123" s="10"/>
      <c r="BK123" s="10"/>
      <c r="BL123" s="10"/>
      <c r="BM123" s="10"/>
      <c r="BN123" s="10"/>
      <c r="BO123" s="10"/>
      <c r="BP123" s="10"/>
      <c r="BQ123" s="10"/>
      <c r="BR123" s="10"/>
      <c r="BS123" s="10"/>
      <c r="BT123" s="10"/>
      <c r="BU123" s="10"/>
      <c r="BV123" s="10"/>
      <c r="BW123" s="10"/>
      <c r="BX123" s="10"/>
      <c r="BY123" s="10"/>
      <c r="BZ123" s="10"/>
      <c r="CA123" s="10"/>
      <c r="CB123" s="10"/>
      <c r="CC123" s="10"/>
      <c r="CD123" s="10"/>
      <c r="CE123" s="10"/>
      <c r="CF123" s="10"/>
      <c r="CG123" s="10"/>
      <c r="CH123" s="10"/>
      <c r="CI123" s="10"/>
      <c r="CJ123" s="10"/>
      <c r="CK123" s="10"/>
      <c r="CL123" s="10"/>
      <c r="CM123" s="10"/>
      <c r="CN123" s="10"/>
      <c r="CO123" s="10"/>
      <c r="CP123" s="10"/>
      <c r="CQ123" s="10"/>
      <c r="CR123" s="10"/>
      <c r="CS123" s="10"/>
      <c r="CT123" s="10"/>
      <c r="CU123" s="10"/>
      <c r="CV123" s="10"/>
      <c r="CW123" s="10"/>
      <c r="CX123" s="10"/>
      <c r="CY123" s="10"/>
      <c r="CZ123" s="10"/>
      <c r="DA123" s="10"/>
      <c r="DB123" s="10"/>
      <c r="DC123" s="10"/>
      <c r="DD123" s="10"/>
      <c r="DE123" s="10"/>
      <c r="DF123" s="10"/>
      <c r="DG123" s="10"/>
      <c r="DH123" s="10"/>
    </row>
    <row r="124" spans="1:112" ht="15.75" customHeight="1" x14ac:dyDescent="0.3">
      <c r="A124" s="13" t="s">
        <v>263</v>
      </c>
      <c r="B124" s="14">
        <v>45572</v>
      </c>
      <c r="C124" s="13" t="s">
        <v>90</v>
      </c>
      <c r="D124" s="13" t="s">
        <v>91</v>
      </c>
      <c r="E124" s="13" t="s">
        <v>32</v>
      </c>
      <c r="F124" s="13" t="s">
        <v>33</v>
      </c>
      <c r="G124" s="13" t="s">
        <v>34</v>
      </c>
      <c r="H124" s="13">
        <v>2</v>
      </c>
      <c r="I124" s="13">
        <v>59.99</v>
      </c>
      <c r="J124" s="13" t="s">
        <v>27</v>
      </c>
      <c r="K124" s="13" t="s">
        <v>22</v>
      </c>
      <c r="L124" s="13" t="s">
        <v>23</v>
      </c>
      <c r="M124" s="14">
        <v>44579</v>
      </c>
      <c r="N124" s="13">
        <v>119.98</v>
      </c>
      <c r="O124" s="10"/>
      <c r="P124" s="13"/>
      <c r="Q124" s="10"/>
      <c r="R124" s="17">
        <f t="shared" ca="1" si="5"/>
        <v>1593</v>
      </c>
      <c r="S124" s="43">
        <f t="shared" si="3"/>
        <v>45596</v>
      </c>
      <c r="T124" s="44" t="str">
        <f t="shared" si="4"/>
        <v>Cen</v>
      </c>
      <c r="U124" s="13"/>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10"/>
      <c r="BJ124" s="10"/>
      <c r="BK124" s="10"/>
      <c r="BL124" s="10"/>
      <c r="BM124" s="10"/>
      <c r="BN124" s="10"/>
      <c r="BO124" s="10"/>
      <c r="BP124" s="10"/>
      <c r="BQ124" s="10"/>
      <c r="BR124" s="10"/>
      <c r="BS124" s="10"/>
      <c r="BT124" s="10"/>
      <c r="BU124" s="10"/>
      <c r="BV124" s="10"/>
      <c r="BW124" s="10"/>
      <c r="BX124" s="10"/>
      <c r="BY124" s="10"/>
      <c r="BZ124" s="10"/>
      <c r="CA124" s="10"/>
      <c r="CB124" s="10"/>
      <c r="CC124" s="10"/>
      <c r="CD124" s="10"/>
      <c r="CE124" s="10"/>
      <c r="CF124" s="10"/>
      <c r="CG124" s="10"/>
      <c r="CH124" s="10"/>
      <c r="CI124" s="10"/>
      <c r="CJ124" s="10"/>
      <c r="CK124" s="10"/>
      <c r="CL124" s="10"/>
      <c r="CM124" s="10"/>
      <c r="CN124" s="10"/>
      <c r="CO124" s="10"/>
      <c r="CP124" s="10"/>
      <c r="CQ124" s="10"/>
      <c r="CR124" s="10"/>
      <c r="CS124" s="10"/>
      <c r="CT124" s="10"/>
      <c r="CU124" s="10"/>
      <c r="CV124" s="10"/>
      <c r="CW124" s="10"/>
      <c r="CX124" s="10"/>
      <c r="CY124" s="10"/>
      <c r="CZ124" s="10"/>
      <c r="DA124" s="10"/>
      <c r="DB124" s="10"/>
      <c r="DC124" s="10"/>
      <c r="DD124" s="10"/>
      <c r="DE124" s="10"/>
      <c r="DF124" s="10"/>
      <c r="DG124" s="10"/>
      <c r="DH124" s="10"/>
    </row>
    <row r="125" spans="1:112" ht="15.75" customHeight="1" x14ac:dyDescent="0.3">
      <c r="A125" s="13" t="s">
        <v>264</v>
      </c>
      <c r="B125" s="14">
        <v>45572</v>
      </c>
      <c r="C125" s="13" t="s">
        <v>235</v>
      </c>
      <c r="D125" s="13" t="s">
        <v>236</v>
      </c>
      <c r="E125" s="13" t="s">
        <v>53</v>
      </c>
      <c r="F125" s="13" t="s">
        <v>54</v>
      </c>
      <c r="G125" s="13" t="s">
        <v>20</v>
      </c>
      <c r="H125" s="13">
        <v>4</v>
      </c>
      <c r="I125" s="13">
        <v>149.99</v>
      </c>
      <c r="J125" s="13" t="s">
        <v>27</v>
      </c>
      <c r="K125" s="13" t="s">
        <v>41</v>
      </c>
      <c r="L125" s="13" t="s">
        <v>28</v>
      </c>
      <c r="M125" s="14">
        <v>45076</v>
      </c>
      <c r="N125" s="13">
        <v>599.96</v>
      </c>
      <c r="O125" s="10"/>
      <c r="P125" s="13"/>
      <c r="Q125" s="10"/>
      <c r="R125" s="17">
        <f t="shared" ca="1" si="5"/>
        <v>1096</v>
      </c>
      <c r="S125" s="43">
        <f t="shared" si="3"/>
        <v>45596</v>
      </c>
      <c r="T125" s="44" t="str">
        <f t="shared" si="4"/>
        <v>Nor</v>
      </c>
      <c r="U125" s="13"/>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10"/>
      <c r="BJ125" s="10"/>
      <c r="BK125" s="10"/>
      <c r="BL125" s="10"/>
      <c r="BM125" s="10"/>
      <c r="BN125" s="10"/>
      <c r="BO125" s="10"/>
      <c r="BP125" s="10"/>
      <c r="BQ125" s="10"/>
      <c r="BR125" s="10"/>
      <c r="BS125" s="10"/>
      <c r="BT125" s="10"/>
      <c r="BU125" s="10"/>
      <c r="BV125" s="10"/>
      <c r="BW125" s="10"/>
      <c r="BX125" s="10"/>
      <c r="BY125" s="10"/>
      <c r="BZ125" s="10"/>
      <c r="CA125" s="10"/>
      <c r="CB125" s="10"/>
      <c r="CC125" s="10"/>
      <c r="CD125" s="10"/>
      <c r="CE125" s="10"/>
      <c r="CF125" s="10"/>
      <c r="CG125" s="10"/>
      <c r="CH125" s="10"/>
      <c r="CI125" s="10"/>
      <c r="CJ125" s="10"/>
      <c r="CK125" s="10"/>
      <c r="CL125" s="10"/>
      <c r="CM125" s="10"/>
      <c r="CN125" s="10"/>
      <c r="CO125" s="10"/>
      <c r="CP125" s="10"/>
      <c r="CQ125" s="10"/>
      <c r="CR125" s="10"/>
      <c r="CS125" s="10"/>
      <c r="CT125" s="10"/>
      <c r="CU125" s="10"/>
      <c r="CV125" s="10"/>
      <c r="CW125" s="10"/>
      <c r="CX125" s="10"/>
      <c r="CY125" s="10"/>
      <c r="CZ125" s="10"/>
      <c r="DA125" s="10"/>
      <c r="DB125" s="10"/>
      <c r="DC125" s="10"/>
      <c r="DD125" s="10"/>
      <c r="DE125" s="10"/>
      <c r="DF125" s="10"/>
      <c r="DG125" s="10"/>
      <c r="DH125" s="10"/>
    </row>
    <row r="126" spans="1:112" ht="15.75" customHeight="1" x14ac:dyDescent="0.3">
      <c r="A126" s="13" t="s">
        <v>265</v>
      </c>
      <c r="B126" s="14">
        <v>45573</v>
      </c>
      <c r="C126" s="13" t="s">
        <v>212</v>
      </c>
      <c r="D126" s="13" t="s">
        <v>213</v>
      </c>
      <c r="E126" s="13" t="s">
        <v>81</v>
      </c>
      <c r="F126" s="13" t="s">
        <v>82</v>
      </c>
      <c r="G126" s="13" t="s">
        <v>20</v>
      </c>
      <c r="H126" s="13">
        <v>2</v>
      </c>
      <c r="I126" s="13">
        <v>699.99</v>
      </c>
      <c r="J126" s="13" t="s">
        <v>58</v>
      </c>
      <c r="K126" s="13" t="s">
        <v>64</v>
      </c>
      <c r="L126" s="13" t="s">
        <v>28</v>
      </c>
      <c r="M126" s="14">
        <v>45274</v>
      </c>
      <c r="N126" s="13">
        <v>1399.98</v>
      </c>
      <c r="O126" s="10"/>
      <c r="P126" s="13"/>
      <c r="Q126" s="10"/>
      <c r="R126" s="17">
        <f t="shared" ca="1" si="5"/>
        <v>898</v>
      </c>
      <c r="S126" s="43">
        <f t="shared" si="3"/>
        <v>45596</v>
      </c>
      <c r="T126" s="44" t="str">
        <f t="shared" si="4"/>
        <v>Eas</v>
      </c>
      <c r="U126" s="13"/>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10"/>
      <c r="BJ126" s="10"/>
      <c r="BK126" s="10"/>
      <c r="BL126" s="10"/>
      <c r="BM126" s="10"/>
      <c r="BN126" s="10"/>
      <c r="BO126" s="10"/>
      <c r="BP126" s="10"/>
      <c r="BQ126" s="10"/>
      <c r="BR126" s="10"/>
      <c r="BS126" s="10"/>
      <c r="BT126" s="10"/>
      <c r="BU126" s="10"/>
      <c r="BV126" s="10"/>
      <c r="BW126" s="10"/>
      <c r="BX126" s="10"/>
      <c r="BY126" s="10"/>
      <c r="BZ126" s="10"/>
      <c r="CA126" s="10"/>
      <c r="CB126" s="10"/>
      <c r="CC126" s="10"/>
      <c r="CD126" s="10"/>
      <c r="CE126" s="10"/>
      <c r="CF126" s="10"/>
      <c r="CG126" s="10"/>
      <c r="CH126" s="10"/>
      <c r="CI126" s="10"/>
      <c r="CJ126" s="10"/>
      <c r="CK126" s="10"/>
      <c r="CL126" s="10"/>
      <c r="CM126" s="10"/>
      <c r="CN126" s="10"/>
      <c r="CO126" s="10"/>
      <c r="CP126" s="10"/>
      <c r="CQ126" s="10"/>
      <c r="CR126" s="10"/>
      <c r="CS126" s="10"/>
      <c r="CT126" s="10"/>
      <c r="CU126" s="10"/>
      <c r="CV126" s="10"/>
      <c r="CW126" s="10"/>
      <c r="CX126" s="10"/>
      <c r="CY126" s="10"/>
      <c r="CZ126" s="10"/>
      <c r="DA126" s="10"/>
      <c r="DB126" s="10"/>
      <c r="DC126" s="10"/>
      <c r="DD126" s="10"/>
      <c r="DE126" s="10"/>
      <c r="DF126" s="10"/>
      <c r="DG126" s="10"/>
      <c r="DH126" s="10"/>
    </row>
    <row r="127" spans="1:112" ht="15.75" customHeight="1" x14ac:dyDescent="0.3">
      <c r="A127" s="13" t="s">
        <v>266</v>
      </c>
      <c r="B127" s="14">
        <v>45573</v>
      </c>
      <c r="C127" s="13" t="s">
        <v>232</v>
      </c>
      <c r="D127" s="13" t="s">
        <v>233</v>
      </c>
      <c r="E127" s="13" t="s">
        <v>45</v>
      </c>
      <c r="F127" s="13" t="s">
        <v>46</v>
      </c>
      <c r="G127" s="13" t="s">
        <v>47</v>
      </c>
      <c r="H127" s="13">
        <v>3</v>
      </c>
      <c r="I127" s="13">
        <v>149.99</v>
      </c>
      <c r="J127" s="13" t="s">
        <v>27</v>
      </c>
      <c r="K127" s="13" t="s">
        <v>36</v>
      </c>
      <c r="L127" s="13" t="s">
        <v>37</v>
      </c>
      <c r="M127" s="14">
        <v>44940</v>
      </c>
      <c r="N127" s="13">
        <v>449.97</v>
      </c>
      <c r="O127" s="10"/>
      <c r="P127" s="13"/>
      <c r="Q127" s="10"/>
      <c r="R127" s="17">
        <f t="shared" ca="1" si="5"/>
        <v>1232</v>
      </c>
      <c r="S127" s="43">
        <f t="shared" si="3"/>
        <v>45596</v>
      </c>
      <c r="T127" s="44" t="str">
        <f t="shared" si="4"/>
        <v>Sou</v>
      </c>
      <c r="U127" s="13"/>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10"/>
      <c r="BJ127" s="10"/>
      <c r="BK127" s="10"/>
      <c r="BL127" s="10"/>
      <c r="BM127" s="10"/>
      <c r="BN127" s="10"/>
      <c r="BO127" s="10"/>
      <c r="BP127" s="10"/>
      <c r="BQ127" s="10"/>
      <c r="BR127" s="10"/>
      <c r="BS127" s="10"/>
      <c r="BT127" s="10"/>
      <c r="BU127" s="10"/>
      <c r="BV127" s="10"/>
      <c r="BW127" s="10"/>
      <c r="BX127" s="10"/>
      <c r="BY127" s="10"/>
      <c r="BZ127" s="10"/>
      <c r="CA127" s="10"/>
      <c r="CB127" s="10"/>
      <c r="CC127" s="10"/>
      <c r="CD127" s="10"/>
      <c r="CE127" s="10"/>
      <c r="CF127" s="10"/>
      <c r="CG127" s="10"/>
      <c r="CH127" s="10"/>
      <c r="CI127" s="10"/>
      <c r="CJ127" s="10"/>
      <c r="CK127" s="10"/>
      <c r="CL127" s="10"/>
      <c r="CM127" s="10"/>
      <c r="CN127" s="10"/>
      <c r="CO127" s="10"/>
      <c r="CP127" s="10"/>
      <c r="CQ127" s="10"/>
      <c r="CR127" s="10"/>
      <c r="CS127" s="10"/>
      <c r="CT127" s="10"/>
      <c r="CU127" s="10"/>
      <c r="CV127" s="10"/>
      <c r="CW127" s="10"/>
      <c r="CX127" s="10"/>
      <c r="CY127" s="10"/>
      <c r="CZ127" s="10"/>
      <c r="DA127" s="10"/>
      <c r="DB127" s="10"/>
      <c r="DC127" s="10"/>
      <c r="DD127" s="10"/>
      <c r="DE127" s="10"/>
      <c r="DF127" s="10"/>
      <c r="DG127" s="10"/>
      <c r="DH127" s="10"/>
    </row>
    <row r="128" spans="1:112" ht="15.75" customHeight="1" x14ac:dyDescent="0.3">
      <c r="A128" s="13" t="s">
        <v>267</v>
      </c>
      <c r="B128" s="14">
        <v>45576</v>
      </c>
      <c r="C128" s="13" t="s">
        <v>148</v>
      </c>
      <c r="D128" s="13" t="s">
        <v>149</v>
      </c>
      <c r="E128" s="13" t="s">
        <v>106</v>
      </c>
      <c r="F128" s="13" t="s">
        <v>107</v>
      </c>
      <c r="G128" s="13" t="s">
        <v>47</v>
      </c>
      <c r="H128" s="13">
        <v>3</v>
      </c>
      <c r="I128" s="13">
        <v>299.99</v>
      </c>
      <c r="J128" s="13" t="s">
        <v>27</v>
      </c>
      <c r="K128" s="13" t="s">
        <v>22</v>
      </c>
      <c r="L128" s="13" t="s">
        <v>37</v>
      </c>
      <c r="M128" s="14">
        <v>45174</v>
      </c>
      <c r="N128" s="13">
        <v>899.97</v>
      </c>
      <c r="O128" s="10"/>
      <c r="P128" s="13"/>
      <c r="Q128" s="10"/>
      <c r="R128" s="17">
        <f t="shared" ca="1" si="5"/>
        <v>998</v>
      </c>
      <c r="S128" s="43">
        <f t="shared" si="3"/>
        <v>45596</v>
      </c>
      <c r="T128" s="44" t="str">
        <f t="shared" si="4"/>
        <v>Cen</v>
      </c>
      <c r="U128" s="13"/>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0"/>
      <c r="BC128" s="10"/>
      <c r="BD128" s="10"/>
      <c r="BE128" s="10"/>
      <c r="BF128" s="10"/>
      <c r="BG128" s="10"/>
      <c r="BH128" s="10"/>
      <c r="BI128" s="10"/>
      <c r="BJ128" s="10"/>
      <c r="BK128" s="10"/>
      <c r="BL128" s="10"/>
      <c r="BM128" s="10"/>
      <c r="BN128" s="10"/>
      <c r="BO128" s="10"/>
      <c r="BP128" s="10"/>
      <c r="BQ128" s="10"/>
      <c r="BR128" s="10"/>
      <c r="BS128" s="10"/>
      <c r="BT128" s="10"/>
      <c r="BU128" s="10"/>
      <c r="BV128" s="10"/>
      <c r="BW128" s="10"/>
      <c r="BX128" s="10"/>
      <c r="BY128" s="10"/>
      <c r="BZ128" s="10"/>
      <c r="CA128" s="10"/>
      <c r="CB128" s="10"/>
      <c r="CC128" s="10"/>
      <c r="CD128" s="10"/>
      <c r="CE128" s="10"/>
      <c r="CF128" s="10"/>
      <c r="CG128" s="10"/>
      <c r="CH128" s="10"/>
      <c r="CI128" s="10"/>
      <c r="CJ128" s="10"/>
      <c r="CK128" s="10"/>
      <c r="CL128" s="10"/>
      <c r="CM128" s="10"/>
      <c r="CN128" s="10"/>
      <c r="CO128" s="10"/>
      <c r="CP128" s="10"/>
      <c r="CQ128" s="10"/>
      <c r="CR128" s="10"/>
      <c r="CS128" s="10"/>
      <c r="CT128" s="10"/>
      <c r="CU128" s="10"/>
      <c r="CV128" s="10"/>
      <c r="CW128" s="10"/>
      <c r="CX128" s="10"/>
      <c r="CY128" s="10"/>
      <c r="CZ128" s="10"/>
      <c r="DA128" s="10"/>
      <c r="DB128" s="10"/>
      <c r="DC128" s="10"/>
      <c r="DD128" s="10"/>
      <c r="DE128" s="10"/>
      <c r="DF128" s="10"/>
      <c r="DG128" s="10"/>
      <c r="DH128" s="10"/>
    </row>
    <row r="129" spans="1:112" ht="15.75" customHeight="1" x14ac:dyDescent="0.3">
      <c r="A129" s="13" t="s">
        <v>268</v>
      </c>
      <c r="B129" s="14">
        <v>45579</v>
      </c>
      <c r="C129" s="13" t="s">
        <v>84</v>
      </c>
      <c r="D129" s="13" t="s">
        <v>85</v>
      </c>
      <c r="E129" s="13" t="s">
        <v>62</v>
      </c>
      <c r="F129" s="13" t="s">
        <v>63</v>
      </c>
      <c r="G129" s="13" t="s">
        <v>20</v>
      </c>
      <c r="H129" s="13">
        <v>3</v>
      </c>
      <c r="I129" s="13">
        <v>899.99</v>
      </c>
      <c r="J129" s="13" t="s">
        <v>35</v>
      </c>
      <c r="K129" s="13" t="s">
        <v>51</v>
      </c>
      <c r="L129" s="13" t="s">
        <v>23</v>
      </c>
      <c r="M129" s="14">
        <v>45215</v>
      </c>
      <c r="N129" s="13">
        <v>2699.97</v>
      </c>
      <c r="O129" s="10"/>
      <c r="P129" s="13"/>
      <c r="Q129" s="10"/>
      <c r="R129" s="17">
        <f t="shared" ca="1" si="5"/>
        <v>957</v>
      </c>
      <c r="S129" s="43">
        <f t="shared" si="3"/>
        <v>45596</v>
      </c>
      <c r="T129" s="44" t="str">
        <f t="shared" si="4"/>
        <v>Wes</v>
      </c>
      <c r="U129" s="13"/>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0"/>
      <c r="BC129" s="10"/>
      <c r="BD129" s="10"/>
      <c r="BE129" s="10"/>
      <c r="BF129" s="10"/>
      <c r="BG129" s="10"/>
      <c r="BH129" s="10"/>
      <c r="BI129" s="10"/>
      <c r="BJ129" s="10"/>
      <c r="BK129" s="10"/>
      <c r="BL129" s="10"/>
      <c r="BM129" s="10"/>
      <c r="BN129" s="10"/>
      <c r="BO129" s="10"/>
      <c r="BP129" s="10"/>
      <c r="BQ129" s="10"/>
      <c r="BR129" s="10"/>
      <c r="BS129" s="10"/>
      <c r="BT129" s="10"/>
      <c r="BU129" s="10"/>
      <c r="BV129" s="10"/>
      <c r="BW129" s="10"/>
      <c r="BX129" s="10"/>
      <c r="BY129" s="10"/>
      <c r="BZ129" s="10"/>
      <c r="CA129" s="10"/>
      <c r="CB129" s="10"/>
      <c r="CC129" s="10"/>
      <c r="CD129" s="10"/>
      <c r="CE129" s="10"/>
      <c r="CF129" s="10"/>
      <c r="CG129" s="10"/>
      <c r="CH129" s="10"/>
      <c r="CI129" s="10"/>
      <c r="CJ129" s="10"/>
      <c r="CK129" s="10"/>
      <c r="CL129" s="10"/>
      <c r="CM129" s="10"/>
      <c r="CN129" s="10"/>
      <c r="CO129" s="10"/>
      <c r="CP129" s="10"/>
      <c r="CQ129" s="10"/>
      <c r="CR129" s="10"/>
      <c r="CS129" s="10"/>
      <c r="CT129" s="10"/>
      <c r="CU129" s="10"/>
      <c r="CV129" s="10"/>
      <c r="CW129" s="10"/>
      <c r="CX129" s="10"/>
      <c r="CY129" s="10"/>
      <c r="CZ129" s="10"/>
      <c r="DA129" s="10"/>
      <c r="DB129" s="10"/>
      <c r="DC129" s="10"/>
      <c r="DD129" s="10"/>
      <c r="DE129" s="10"/>
      <c r="DF129" s="10"/>
      <c r="DG129" s="10"/>
      <c r="DH129" s="10"/>
    </row>
    <row r="130" spans="1:112" ht="15.75" customHeight="1" x14ac:dyDescent="0.3">
      <c r="A130" s="13" t="s">
        <v>269</v>
      </c>
      <c r="B130" s="14">
        <v>45581</v>
      </c>
      <c r="C130" s="13" t="s">
        <v>97</v>
      </c>
      <c r="D130" s="13" t="s">
        <v>98</v>
      </c>
      <c r="E130" s="13" t="s">
        <v>81</v>
      </c>
      <c r="F130" s="13" t="s">
        <v>82</v>
      </c>
      <c r="G130" s="13" t="s">
        <v>20</v>
      </c>
      <c r="H130" s="13">
        <v>5</v>
      </c>
      <c r="I130" s="13">
        <v>699.99</v>
      </c>
      <c r="J130" s="13" t="s">
        <v>21</v>
      </c>
      <c r="K130" s="13" t="s">
        <v>64</v>
      </c>
      <c r="L130" s="13" t="s">
        <v>37</v>
      </c>
      <c r="M130" s="14">
        <v>45008</v>
      </c>
      <c r="N130" s="13">
        <v>3499.95</v>
      </c>
      <c r="O130" s="10"/>
      <c r="P130" s="13"/>
      <c r="Q130" s="10"/>
      <c r="R130" s="17">
        <f t="shared" ca="1" si="5"/>
        <v>1164</v>
      </c>
      <c r="S130" s="43">
        <f t="shared" si="3"/>
        <v>45596</v>
      </c>
      <c r="T130" s="44" t="str">
        <f t="shared" si="4"/>
        <v>Eas</v>
      </c>
      <c r="U130" s="13"/>
      <c r="V130" s="10"/>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0"/>
      <c r="BC130" s="10"/>
      <c r="BD130" s="10"/>
      <c r="BE130" s="10"/>
      <c r="BF130" s="10"/>
      <c r="BG130" s="10"/>
      <c r="BH130" s="10"/>
      <c r="BI130" s="10"/>
      <c r="BJ130" s="10"/>
      <c r="BK130" s="10"/>
      <c r="BL130" s="10"/>
      <c r="BM130" s="10"/>
      <c r="BN130" s="10"/>
      <c r="BO130" s="10"/>
      <c r="BP130" s="10"/>
      <c r="BQ130" s="10"/>
      <c r="BR130" s="10"/>
      <c r="BS130" s="10"/>
      <c r="BT130" s="10"/>
      <c r="BU130" s="10"/>
      <c r="BV130" s="10"/>
      <c r="BW130" s="10"/>
      <c r="BX130" s="10"/>
      <c r="BY130" s="10"/>
      <c r="BZ130" s="10"/>
      <c r="CA130" s="10"/>
      <c r="CB130" s="10"/>
      <c r="CC130" s="10"/>
      <c r="CD130" s="10"/>
      <c r="CE130" s="10"/>
      <c r="CF130" s="10"/>
      <c r="CG130" s="10"/>
      <c r="CH130" s="10"/>
      <c r="CI130" s="10"/>
      <c r="CJ130" s="10"/>
      <c r="CK130" s="10"/>
      <c r="CL130" s="10"/>
      <c r="CM130" s="10"/>
      <c r="CN130" s="10"/>
      <c r="CO130" s="10"/>
      <c r="CP130" s="10"/>
      <c r="CQ130" s="10"/>
      <c r="CR130" s="10"/>
      <c r="CS130" s="10"/>
      <c r="CT130" s="10"/>
      <c r="CU130" s="10"/>
      <c r="CV130" s="10"/>
      <c r="CW130" s="10"/>
      <c r="CX130" s="10"/>
      <c r="CY130" s="10"/>
      <c r="CZ130" s="10"/>
      <c r="DA130" s="10"/>
      <c r="DB130" s="10"/>
      <c r="DC130" s="10"/>
      <c r="DD130" s="10"/>
      <c r="DE130" s="10"/>
      <c r="DF130" s="10"/>
      <c r="DG130" s="10"/>
      <c r="DH130" s="10"/>
    </row>
    <row r="131" spans="1:112" ht="15.75" customHeight="1" x14ac:dyDescent="0.3">
      <c r="A131" s="13" t="s">
        <v>270</v>
      </c>
      <c r="B131" s="14">
        <v>45581</v>
      </c>
      <c r="C131" s="13" t="s">
        <v>172</v>
      </c>
      <c r="D131" s="13" t="s">
        <v>173</v>
      </c>
      <c r="E131" s="13" t="s">
        <v>81</v>
      </c>
      <c r="F131" s="13" t="s">
        <v>82</v>
      </c>
      <c r="G131" s="13" t="s">
        <v>20</v>
      </c>
      <c r="H131" s="13">
        <v>4</v>
      </c>
      <c r="I131" s="13">
        <v>699.99</v>
      </c>
      <c r="J131" s="13" t="s">
        <v>27</v>
      </c>
      <c r="K131" s="13" t="s">
        <v>22</v>
      </c>
      <c r="L131" s="13" t="s">
        <v>23</v>
      </c>
      <c r="M131" s="14">
        <v>45385</v>
      </c>
      <c r="N131" s="13">
        <v>2799.96</v>
      </c>
      <c r="O131" s="10"/>
      <c r="P131" s="13"/>
      <c r="Q131" s="10"/>
      <c r="R131" s="17">
        <f t="shared" ca="1" si="5"/>
        <v>787</v>
      </c>
      <c r="S131" s="43">
        <f t="shared" si="3"/>
        <v>45596</v>
      </c>
      <c r="T131" s="44" t="str">
        <f t="shared" si="4"/>
        <v>Cen</v>
      </c>
      <c r="U131" s="13"/>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0"/>
      <c r="BC131" s="10"/>
      <c r="BD131" s="10"/>
      <c r="BE131" s="10"/>
      <c r="BF131" s="10"/>
      <c r="BG131" s="10"/>
      <c r="BH131" s="10"/>
      <c r="BI131" s="10"/>
      <c r="BJ131" s="10"/>
      <c r="BK131" s="10"/>
      <c r="BL131" s="10"/>
      <c r="BM131" s="10"/>
      <c r="BN131" s="10"/>
      <c r="BO131" s="10"/>
      <c r="BP131" s="10"/>
      <c r="BQ131" s="10"/>
      <c r="BR131" s="10"/>
      <c r="BS131" s="10"/>
      <c r="BT131" s="10"/>
      <c r="BU131" s="10"/>
      <c r="BV131" s="10"/>
      <c r="BW131" s="10"/>
      <c r="BX131" s="10"/>
      <c r="BY131" s="10"/>
      <c r="BZ131" s="10"/>
      <c r="CA131" s="10"/>
      <c r="CB131" s="10"/>
      <c r="CC131" s="10"/>
      <c r="CD131" s="10"/>
      <c r="CE131" s="10"/>
      <c r="CF131" s="10"/>
      <c r="CG131" s="10"/>
      <c r="CH131" s="10"/>
      <c r="CI131" s="10"/>
      <c r="CJ131" s="10"/>
      <c r="CK131" s="10"/>
      <c r="CL131" s="10"/>
      <c r="CM131" s="10"/>
      <c r="CN131" s="10"/>
      <c r="CO131" s="10"/>
      <c r="CP131" s="10"/>
      <c r="CQ131" s="10"/>
      <c r="CR131" s="10"/>
      <c r="CS131" s="10"/>
      <c r="CT131" s="10"/>
      <c r="CU131" s="10"/>
      <c r="CV131" s="10"/>
      <c r="CW131" s="10"/>
      <c r="CX131" s="10"/>
      <c r="CY131" s="10"/>
      <c r="CZ131" s="10"/>
      <c r="DA131" s="10"/>
      <c r="DB131" s="10"/>
      <c r="DC131" s="10"/>
      <c r="DD131" s="10"/>
      <c r="DE131" s="10"/>
      <c r="DF131" s="10"/>
      <c r="DG131" s="10"/>
      <c r="DH131" s="10"/>
    </row>
    <row r="132" spans="1:112" ht="15.75" customHeight="1" x14ac:dyDescent="0.3">
      <c r="A132" s="13" t="s">
        <v>271</v>
      </c>
      <c r="B132" s="14">
        <v>45581</v>
      </c>
      <c r="C132" s="13" t="s">
        <v>151</v>
      </c>
      <c r="D132" s="13" t="s">
        <v>152</v>
      </c>
      <c r="E132" s="13" t="s">
        <v>62</v>
      </c>
      <c r="F132" s="13" t="s">
        <v>63</v>
      </c>
      <c r="G132" s="13" t="s">
        <v>20</v>
      </c>
      <c r="H132" s="13">
        <v>1</v>
      </c>
      <c r="I132" s="13">
        <v>899.99</v>
      </c>
      <c r="J132" s="13" t="s">
        <v>27</v>
      </c>
      <c r="K132" s="13" t="s">
        <v>64</v>
      </c>
      <c r="L132" s="13" t="s">
        <v>37</v>
      </c>
      <c r="M132" s="14">
        <v>45369</v>
      </c>
      <c r="N132" s="13">
        <v>899.99</v>
      </c>
      <c r="O132" s="10"/>
      <c r="P132" s="13"/>
      <c r="Q132" s="10"/>
      <c r="R132" s="17">
        <f t="shared" ca="1" si="5"/>
        <v>803</v>
      </c>
      <c r="S132" s="43">
        <f t="shared" ref="S132:S195" si="6">EOMONTH(B132,0)</f>
        <v>45596</v>
      </c>
      <c r="T132" s="44" t="str">
        <f t="shared" ref="T132:T195" si="7">LEFT(K132,3)</f>
        <v>Eas</v>
      </c>
      <c r="U132" s="13"/>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0"/>
      <c r="BC132" s="10"/>
      <c r="BD132" s="10"/>
      <c r="BE132" s="10"/>
      <c r="BF132" s="10"/>
      <c r="BG132" s="10"/>
      <c r="BH132" s="10"/>
      <c r="BI132" s="10"/>
      <c r="BJ132" s="10"/>
      <c r="BK132" s="10"/>
      <c r="BL132" s="10"/>
      <c r="BM132" s="10"/>
      <c r="BN132" s="10"/>
      <c r="BO132" s="10"/>
      <c r="BP132" s="10"/>
      <c r="BQ132" s="10"/>
      <c r="BR132" s="10"/>
      <c r="BS132" s="10"/>
      <c r="BT132" s="10"/>
      <c r="BU132" s="10"/>
      <c r="BV132" s="10"/>
      <c r="BW132" s="10"/>
      <c r="BX132" s="10"/>
      <c r="BY132" s="10"/>
      <c r="BZ132" s="10"/>
      <c r="CA132" s="10"/>
      <c r="CB132" s="10"/>
      <c r="CC132" s="10"/>
      <c r="CD132" s="10"/>
      <c r="CE132" s="10"/>
      <c r="CF132" s="10"/>
      <c r="CG132" s="10"/>
      <c r="CH132" s="10"/>
      <c r="CI132" s="10"/>
      <c r="CJ132" s="10"/>
      <c r="CK132" s="10"/>
      <c r="CL132" s="10"/>
      <c r="CM132" s="10"/>
      <c r="CN132" s="10"/>
      <c r="CO132" s="10"/>
      <c r="CP132" s="10"/>
      <c r="CQ132" s="10"/>
      <c r="CR132" s="10"/>
      <c r="CS132" s="10"/>
      <c r="CT132" s="10"/>
      <c r="CU132" s="10"/>
      <c r="CV132" s="10"/>
      <c r="CW132" s="10"/>
      <c r="CX132" s="10"/>
      <c r="CY132" s="10"/>
      <c r="CZ132" s="10"/>
      <c r="DA132" s="10"/>
      <c r="DB132" s="10"/>
      <c r="DC132" s="10"/>
      <c r="DD132" s="10"/>
      <c r="DE132" s="10"/>
      <c r="DF132" s="10"/>
      <c r="DG132" s="10"/>
      <c r="DH132" s="10"/>
    </row>
    <row r="133" spans="1:112" ht="15.75" customHeight="1" x14ac:dyDescent="0.3">
      <c r="A133" s="13" t="s">
        <v>272</v>
      </c>
      <c r="B133" s="14">
        <v>45583</v>
      </c>
      <c r="C133" s="13" t="s">
        <v>227</v>
      </c>
      <c r="D133" s="13" t="s">
        <v>228</v>
      </c>
      <c r="E133" s="13" t="s">
        <v>53</v>
      </c>
      <c r="F133" s="13" t="s">
        <v>54</v>
      </c>
      <c r="G133" s="13" t="s">
        <v>20</v>
      </c>
      <c r="H133" s="13">
        <v>2</v>
      </c>
      <c r="I133" s="13">
        <v>149.99</v>
      </c>
      <c r="J133" s="13" t="s">
        <v>27</v>
      </c>
      <c r="K133" s="13" t="s">
        <v>51</v>
      </c>
      <c r="L133" s="13" t="s">
        <v>23</v>
      </c>
      <c r="M133" s="14">
        <v>44916</v>
      </c>
      <c r="N133" s="13">
        <v>299.98</v>
      </c>
      <c r="O133" s="10"/>
      <c r="P133" s="13"/>
      <c r="Q133" s="10"/>
      <c r="R133" s="17">
        <f t="shared" ref="R133:R196" ca="1" si="8">DATEDIF(M133,TODAY(),"D")</f>
        <v>1256</v>
      </c>
      <c r="S133" s="43">
        <f t="shared" si="6"/>
        <v>45596</v>
      </c>
      <c r="T133" s="44" t="str">
        <f t="shared" si="7"/>
        <v>Wes</v>
      </c>
      <c r="U133" s="13"/>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0"/>
      <c r="BC133" s="10"/>
      <c r="BD133" s="10"/>
      <c r="BE133" s="10"/>
      <c r="BF133" s="10"/>
      <c r="BG133" s="10"/>
      <c r="BH133" s="10"/>
      <c r="BI133" s="10"/>
      <c r="BJ133" s="10"/>
      <c r="BK133" s="10"/>
      <c r="BL133" s="10"/>
      <c r="BM133" s="10"/>
      <c r="BN133" s="10"/>
      <c r="BO133" s="10"/>
      <c r="BP133" s="10"/>
      <c r="BQ133" s="10"/>
      <c r="BR133" s="10"/>
      <c r="BS133" s="10"/>
      <c r="BT133" s="10"/>
      <c r="BU133" s="10"/>
      <c r="BV133" s="10"/>
      <c r="BW133" s="10"/>
      <c r="BX133" s="10"/>
      <c r="BY133" s="10"/>
      <c r="BZ133" s="10"/>
      <c r="CA133" s="10"/>
      <c r="CB133" s="10"/>
      <c r="CC133" s="10"/>
      <c r="CD133" s="10"/>
      <c r="CE133" s="10"/>
      <c r="CF133" s="10"/>
      <c r="CG133" s="10"/>
      <c r="CH133" s="10"/>
      <c r="CI133" s="10"/>
      <c r="CJ133" s="10"/>
      <c r="CK133" s="10"/>
      <c r="CL133" s="10"/>
      <c r="CM133" s="10"/>
      <c r="CN133" s="10"/>
      <c r="CO133" s="10"/>
      <c r="CP133" s="10"/>
      <c r="CQ133" s="10"/>
      <c r="CR133" s="10"/>
      <c r="CS133" s="10"/>
      <c r="CT133" s="10"/>
      <c r="CU133" s="10"/>
      <c r="CV133" s="10"/>
      <c r="CW133" s="10"/>
      <c r="CX133" s="10"/>
      <c r="CY133" s="10"/>
      <c r="CZ133" s="10"/>
      <c r="DA133" s="10"/>
      <c r="DB133" s="10"/>
      <c r="DC133" s="10"/>
      <c r="DD133" s="10"/>
      <c r="DE133" s="10"/>
      <c r="DF133" s="10"/>
      <c r="DG133" s="10"/>
      <c r="DH133" s="10"/>
    </row>
    <row r="134" spans="1:112" ht="15.75" customHeight="1" x14ac:dyDescent="0.3">
      <c r="A134" s="13" t="s">
        <v>273</v>
      </c>
      <c r="B134" s="14">
        <v>45586</v>
      </c>
      <c r="C134" s="13" t="s">
        <v>227</v>
      </c>
      <c r="D134" s="13" t="s">
        <v>228</v>
      </c>
      <c r="E134" s="13" t="s">
        <v>118</v>
      </c>
      <c r="F134" s="13" t="s">
        <v>119</v>
      </c>
      <c r="G134" s="13" t="s">
        <v>20</v>
      </c>
      <c r="H134" s="13">
        <v>3</v>
      </c>
      <c r="I134" s="13">
        <v>89.99</v>
      </c>
      <c r="J134" s="13" t="s">
        <v>35</v>
      </c>
      <c r="K134" s="13" t="s">
        <v>22</v>
      </c>
      <c r="L134" s="13" t="s">
        <v>23</v>
      </c>
      <c r="M134" s="14">
        <v>44551</v>
      </c>
      <c r="N134" s="13">
        <v>269.97000000000003</v>
      </c>
      <c r="O134" s="10"/>
      <c r="P134" s="13"/>
      <c r="Q134" s="10"/>
      <c r="R134" s="17">
        <f t="shared" ca="1" si="8"/>
        <v>1621</v>
      </c>
      <c r="S134" s="43">
        <f t="shared" si="6"/>
        <v>45596</v>
      </c>
      <c r="T134" s="44" t="str">
        <f t="shared" si="7"/>
        <v>Cen</v>
      </c>
      <c r="U134" s="13"/>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0"/>
      <c r="BC134" s="10"/>
      <c r="BD134" s="10"/>
      <c r="BE134" s="10"/>
      <c r="BF134" s="10"/>
      <c r="BG134" s="10"/>
      <c r="BH134" s="10"/>
      <c r="BI134" s="10"/>
      <c r="BJ134" s="10"/>
      <c r="BK134" s="10"/>
      <c r="BL134" s="10"/>
      <c r="BM134" s="10"/>
      <c r="BN134" s="10"/>
      <c r="BO134" s="10"/>
      <c r="BP134" s="10"/>
      <c r="BQ134" s="10"/>
      <c r="BR134" s="10"/>
      <c r="BS134" s="10"/>
      <c r="BT134" s="10"/>
      <c r="BU134" s="10"/>
      <c r="BV134" s="10"/>
      <c r="BW134" s="10"/>
      <c r="BX134" s="10"/>
      <c r="BY134" s="10"/>
      <c r="BZ134" s="10"/>
      <c r="CA134" s="10"/>
      <c r="CB134" s="10"/>
      <c r="CC134" s="10"/>
      <c r="CD134" s="10"/>
      <c r="CE134" s="10"/>
      <c r="CF134" s="10"/>
      <c r="CG134" s="10"/>
      <c r="CH134" s="10"/>
      <c r="CI134" s="10"/>
      <c r="CJ134" s="10"/>
      <c r="CK134" s="10"/>
      <c r="CL134" s="10"/>
      <c r="CM134" s="10"/>
      <c r="CN134" s="10"/>
      <c r="CO134" s="10"/>
      <c r="CP134" s="10"/>
      <c r="CQ134" s="10"/>
      <c r="CR134" s="10"/>
      <c r="CS134" s="10"/>
      <c r="CT134" s="10"/>
      <c r="CU134" s="10"/>
      <c r="CV134" s="10"/>
      <c r="CW134" s="10"/>
      <c r="CX134" s="10"/>
      <c r="CY134" s="10"/>
      <c r="CZ134" s="10"/>
      <c r="DA134" s="10"/>
      <c r="DB134" s="10"/>
      <c r="DC134" s="10"/>
      <c r="DD134" s="10"/>
      <c r="DE134" s="10"/>
      <c r="DF134" s="10"/>
      <c r="DG134" s="10"/>
      <c r="DH134" s="10"/>
    </row>
    <row r="135" spans="1:112" ht="15.75" customHeight="1" x14ac:dyDescent="0.3">
      <c r="A135" s="13" t="s">
        <v>274</v>
      </c>
      <c r="B135" s="14">
        <v>45588</v>
      </c>
      <c r="C135" s="13" t="s">
        <v>39</v>
      </c>
      <c r="D135" s="13" t="s">
        <v>40</v>
      </c>
      <c r="E135" s="13" t="s">
        <v>53</v>
      </c>
      <c r="F135" s="13" t="s">
        <v>54</v>
      </c>
      <c r="G135" s="13" t="s">
        <v>20</v>
      </c>
      <c r="H135" s="13">
        <v>2</v>
      </c>
      <c r="I135" s="13">
        <v>149.99</v>
      </c>
      <c r="J135" s="13" t="s">
        <v>35</v>
      </c>
      <c r="K135" s="13" t="s">
        <v>22</v>
      </c>
      <c r="L135" s="13" t="s">
        <v>23</v>
      </c>
      <c r="M135" s="14">
        <v>44473</v>
      </c>
      <c r="N135" s="13">
        <v>299.98</v>
      </c>
      <c r="O135" s="10"/>
      <c r="P135" s="13"/>
      <c r="Q135" s="10"/>
      <c r="R135" s="17">
        <f t="shared" ca="1" si="8"/>
        <v>1699</v>
      </c>
      <c r="S135" s="43">
        <f t="shared" si="6"/>
        <v>45596</v>
      </c>
      <c r="T135" s="44" t="str">
        <f t="shared" si="7"/>
        <v>Cen</v>
      </c>
      <c r="U135" s="13"/>
      <c r="V135" s="10"/>
      <c r="W135" s="10"/>
      <c r="X135" s="10"/>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0"/>
      <c r="BC135" s="10"/>
      <c r="BD135" s="10"/>
      <c r="BE135" s="10"/>
      <c r="BF135" s="10"/>
      <c r="BG135" s="10"/>
      <c r="BH135" s="10"/>
      <c r="BI135" s="10"/>
      <c r="BJ135" s="10"/>
      <c r="BK135" s="10"/>
      <c r="BL135" s="10"/>
      <c r="BM135" s="10"/>
      <c r="BN135" s="10"/>
      <c r="BO135" s="10"/>
      <c r="BP135" s="10"/>
      <c r="BQ135" s="10"/>
      <c r="BR135" s="10"/>
      <c r="BS135" s="10"/>
      <c r="BT135" s="10"/>
      <c r="BU135" s="10"/>
      <c r="BV135" s="10"/>
      <c r="BW135" s="10"/>
      <c r="BX135" s="10"/>
      <c r="BY135" s="10"/>
      <c r="BZ135" s="10"/>
      <c r="CA135" s="10"/>
      <c r="CB135" s="10"/>
      <c r="CC135" s="10"/>
      <c r="CD135" s="10"/>
      <c r="CE135" s="10"/>
      <c r="CF135" s="10"/>
      <c r="CG135" s="10"/>
      <c r="CH135" s="10"/>
      <c r="CI135" s="10"/>
      <c r="CJ135" s="10"/>
      <c r="CK135" s="10"/>
      <c r="CL135" s="10"/>
      <c r="CM135" s="10"/>
      <c r="CN135" s="10"/>
      <c r="CO135" s="10"/>
      <c r="CP135" s="10"/>
      <c r="CQ135" s="10"/>
      <c r="CR135" s="10"/>
      <c r="CS135" s="10"/>
      <c r="CT135" s="10"/>
      <c r="CU135" s="10"/>
      <c r="CV135" s="10"/>
      <c r="CW135" s="10"/>
      <c r="CX135" s="10"/>
      <c r="CY135" s="10"/>
      <c r="CZ135" s="10"/>
      <c r="DA135" s="10"/>
      <c r="DB135" s="10"/>
      <c r="DC135" s="10"/>
      <c r="DD135" s="10"/>
      <c r="DE135" s="10"/>
      <c r="DF135" s="10"/>
      <c r="DG135" s="10"/>
      <c r="DH135" s="10"/>
    </row>
    <row r="136" spans="1:112" ht="15.75" customHeight="1" x14ac:dyDescent="0.3">
      <c r="A136" s="13" t="s">
        <v>275</v>
      </c>
      <c r="B136" s="14">
        <v>45588</v>
      </c>
      <c r="C136" s="13" t="s">
        <v>155</v>
      </c>
      <c r="D136" s="13" t="s">
        <v>156</v>
      </c>
      <c r="E136" s="13" t="s">
        <v>81</v>
      </c>
      <c r="F136" s="13" t="s">
        <v>82</v>
      </c>
      <c r="G136" s="13" t="s">
        <v>20</v>
      </c>
      <c r="H136" s="13">
        <v>2</v>
      </c>
      <c r="I136" s="13">
        <v>699.99</v>
      </c>
      <c r="J136" s="13" t="s">
        <v>21</v>
      </c>
      <c r="K136" s="13" t="s">
        <v>22</v>
      </c>
      <c r="L136" s="13" t="s">
        <v>23</v>
      </c>
      <c r="M136" s="14">
        <v>44992</v>
      </c>
      <c r="N136" s="13">
        <v>1399.98</v>
      </c>
      <c r="O136" s="10"/>
      <c r="P136" s="13"/>
      <c r="Q136" s="10"/>
      <c r="R136" s="17">
        <f t="shared" ca="1" si="8"/>
        <v>1180</v>
      </c>
      <c r="S136" s="43">
        <f t="shared" si="6"/>
        <v>45596</v>
      </c>
      <c r="T136" s="44" t="str">
        <f t="shared" si="7"/>
        <v>Cen</v>
      </c>
      <c r="U136" s="13"/>
      <c r="V136" s="10"/>
      <c r="W136" s="10"/>
      <c r="X136" s="10"/>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0"/>
      <c r="BC136" s="10"/>
      <c r="BD136" s="10"/>
      <c r="BE136" s="10"/>
      <c r="BF136" s="10"/>
      <c r="BG136" s="10"/>
      <c r="BH136" s="10"/>
      <c r="BI136" s="10"/>
      <c r="BJ136" s="10"/>
      <c r="BK136" s="10"/>
      <c r="BL136" s="10"/>
      <c r="BM136" s="10"/>
      <c r="BN136" s="10"/>
      <c r="BO136" s="10"/>
      <c r="BP136" s="10"/>
      <c r="BQ136" s="10"/>
      <c r="BR136" s="10"/>
      <c r="BS136" s="10"/>
      <c r="BT136" s="10"/>
      <c r="BU136" s="10"/>
      <c r="BV136" s="10"/>
      <c r="BW136" s="10"/>
      <c r="BX136" s="10"/>
      <c r="BY136" s="10"/>
      <c r="BZ136" s="10"/>
      <c r="CA136" s="10"/>
      <c r="CB136" s="10"/>
      <c r="CC136" s="10"/>
      <c r="CD136" s="10"/>
      <c r="CE136" s="10"/>
      <c r="CF136" s="10"/>
      <c r="CG136" s="10"/>
      <c r="CH136" s="10"/>
      <c r="CI136" s="10"/>
      <c r="CJ136" s="10"/>
      <c r="CK136" s="10"/>
      <c r="CL136" s="10"/>
      <c r="CM136" s="10"/>
      <c r="CN136" s="10"/>
      <c r="CO136" s="10"/>
      <c r="CP136" s="10"/>
      <c r="CQ136" s="10"/>
      <c r="CR136" s="10"/>
      <c r="CS136" s="10"/>
      <c r="CT136" s="10"/>
      <c r="CU136" s="10"/>
      <c r="CV136" s="10"/>
      <c r="CW136" s="10"/>
      <c r="CX136" s="10"/>
      <c r="CY136" s="10"/>
      <c r="CZ136" s="10"/>
      <c r="DA136" s="10"/>
      <c r="DB136" s="10"/>
      <c r="DC136" s="10"/>
      <c r="DD136" s="10"/>
      <c r="DE136" s="10"/>
      <c r="DF136" s="10"/>
      <c r="DG136" s="10"/>
      <c r="DH136" s="10"/>
    </row>
    <row r="137" spans="1:112" ht="15.75" customHeight="1" x14ac:dyDescent="0.3">
      <c r="A137" s="13" t="s">
        <v>276</v>
      </c>
      <c r="B137" s="14">
        <v>45589</v>
      </c>
      <c r="C137" s="13" t="s">
        <v>159</v>
      </c>
      <c r="D137" s="13" t="s">
        <v>160</v>
      </c>
      <c r="E137" s="13" t="s">
        <v>81</v>
      </c>
      <c r="F137" s="13" t="s">
        <v>82</v>
      </c>
      <c r="G137" s="13" t="s">
        <v>20</v>
      </c>
      <c r="H137" s="13">
        <v>5</v>
      </c>
      <c r="I137" s="13">
        <v>699.99</v>
      </c>
      <c r="J137" s="13" t="s">
        <v>21</v>
      </c>
      <c r="K137" s="13" t="s">
        <v>41</v>
      </c>
      <c r="L137" s="13" t="s">
        <v>28</v>
      </c>
      <c r="M137" s="14">
        <v>44635</v>
      </c>
      <c r="N137" s="13">
        <v>3499.95</v>
      </c>
      <c r="O137" s="10"/>
      <c r="P137" s="13"/>
      <c r="Q137" s="10"/>
      <c r="R137" s="17">
        <f t="shared" ca="1" si="8"/>
        <v>1537</v>
      </c>
      <c r="S137" s="43">
        <f t="shared" si="6"/>
        <v>45596</v>
      </c>
      <c r="T137" s="44" t="str">
        <f t="shared" si="7"/>
        <v>Nor</v>
      </c>
      <c r="U137" s="13"/>
      <c r="V137" s="10"/>
      <c r="W137" s="10"/>
      <c r="X137" s="10"/>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0"/>
      <c r="BC137" s="10"/>
      <c r="BD137" s="10"/>
      <c r="BE137" s="10"/>
      <c r="BF137" s="10"/>
      <c r="BG137" s="10"/>
      <c r="BH137" s="10"/>
      <c r="BI137" s="10"/>
      <c r="BJ137" s="10"/>
      <c r="BK137" s="10"/>
      <c r="BL137" s="10"/>
      <c r="BM137" s="10"/>
      <c r="BN137" s="10"/>
      <c r="BO137" s="10"/>
      <c r="BP137" s="10"/>
      <c r="BQ137" s="10"/>
      <c r="BR137" s="10"/>
      <c r="BS137" s="10"/>
      <c r="BT137" s="10"/>
      <c r="BU137" s="10"/>
      <c r="BV137" s="10"/>
      <c r="BW137" s="10"/>
      <c r="BX137" s="10"/>
      <c r="BY137" s="10"/>
      <c r="BZ137" s="10"/>
      <c r="CA137" s="10"/>
      <c r="CB137" s="10"/>
      <c r="CC137" s="10"/>
      <c r="CD137" s="10"/>
      <c r="CE137" s="10"/>
      <c r="CF137" s="10"/>
      <c r="CG137" s="10"/>
      <c r="CH137" s="10"/>
      <c r="CI137" s="10"/>
      <c r="CJ137" s="10"/>
      <c r="CK137" s="10"/>
      <c r="CL137" s="10"/>
      <c r="CM137" s="10"/>
      <c r="CN137" s="10"/>
      <c r="CO137" s="10"/>
      <c r="CP137" s="10"/>
      <c r="CQ137" s="10"/>
      <c r="CR137" s="10"/>
      <c r="CS137" s="10"/>
      <c r="CT137" s="10"/>
      <c r="CU137" s="10"/>
      <c r="CV137" s="10"/>
      <c r="CW137" s="10"/>
      <c r="CX137" s="10"/>
      <c r="CY137" s="10"/>
      <c r="CZ137" s="10"/>
      <c r="DA137" s="10"/>
      <c r="DB137" s="10"/>
      <c r="DC137" s="10"/>
      <c r="DD137" s="10"/>
      <c r="DE137" s="10"/>
      <c r="DF137" s="10"/>
      <c r="DG137" s="10"/>
      <c r="DH137" s="10"/>
    </row>
    <row r="138" spans="1:112" ht="15.75" customHeight="1" x14ac:dyDescent="0.3">
      <c r="A138" s="13" t="s">
        <v>277</v>
      </c>
      <c r="B138" s="14">
        <v>45592</v>
      </c>
      <c r="C138" s="13" t="s">
        <v>172</v>
      </c>
      <c r="D138" s="13" t="s">
        <v>173</v>
      </c>
      <c r="E138" s="13" t="s">
        <v>118</v>
      </c>
      <c r="F138" s="13" t="s">
        <v>119</v>
      </c>
      <c r="G138" s="13" t="s">
        <v>20</v>
      </c>
      <c r="H138" s="13">
        <v>3</v>
      </c>
      <c r="I138" s="13">
        <v>89.99</v>
      </c>
      <c r="J138" s="13" t="s">
        <v>27</v>
      </c>
      <c r="K138" s="13" t="s">
        <v>41</v>
      </c>
      <c r="L138" s="13" t="s">
        <v>37</v>
      </c>
      <c r="M138" s="14">
        <v>44615</v>
      </c>
      <c r="N138" s="13">
        <v>269.97000000000003</v>
      </c>
      <c r="O138" s="10"/>
      <c r="P138" s="13"/>
      <c r="Q138" s="10"/>
      <c r="R138" s="17">
        <f t="shared" ca="1" si="8"/>
        <v>1557</v>
      </c>
      <c r="S138" s="43">
        <f t="shared" si="6"/>
        <v>45596</v>
      </c>
      <c r="T138" s="44" t="str">
        <f t="shared" si="7"/>
        <v>Nor</v>
      </c>
      <c r="U138" s="13"/>
      <c r="V138" s="10"/>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0"/>
      <c r="BC138" s="10"/>
      <c r="BD138" s="10"/>
      <c r="BE138" s="10"/>
      <c r="BF138" s="10"/>
      <c r="BG138" s="10"/>
      <c r="BH138" s="10"/>
      <c r="BI138" s="10"/>
      <c r="BJ138" s="10"/>
      <c r="BK138" s="10"/>
      <c r="BL138" s="10"/>
      <c r="BM138" s="10"/>
      <c r="BN138" s="10"/>
      <c r="BO138" s="10"/>
      <c r="BP138" s="10"/>
      <c r="BQ138" s="10"/>
      <c r="BR138" s="10"/>
      <c r="BS138" s="10"/>
      <c r="BT138" s="10"/>
      <c r="BU138" s="10"/>
      <c r="BV138" s="10"/>
      <c r="BW138" s="10"/>
      <c r="BX138" s="10"/>
      <c r="BY138" s="10"/>
      <c r="BZ138" s="10"/>
      <c r="CA138" s="10"/>
      <c r="CB138" s="10"/>
      <c r="CC138" s="10"/>
      <c r="CD138" s="10"/>
      <c r="CE138" s="10"/>
      <c r="CF138" s="10"/>
      <c r="CG138" s="10"/>
      <c r="CH138" s="10"/>
      <c r="CI138" s="10"/>
      <c r="CJ138" s="10"/>
      <c r="CK138" s="10"/>
      <c r="CL138" s="10"/>
      <c r="CM138" s="10"/>
      <c r="CN138" s="10"/>
      <c r="CO138" s="10"/>
      <c r="CP138" s="10"/>
      <c r="CQ138" s="10"/>
      <c r="CR138" s="10"/>
      <c r="CS138" s="10"/>
      <c r="CT138" s="10"/>
      <c r="CU138" s="10"/>
      <c r="CV138" s="10"/>
      <c r="CW138" s="10"/>
      <c r="CX138" s="10"/>
      <c r="CY138" s="10"/>
      <c r="CZ138" s="10"/>
      <c r="DA138" s="10"/>
      <c r="DB138" s="10"/>
      <c r="DC138" s="10"/>
      <c r="DD138" s="10"/>
      <c r="DE138" s="10"/>
      <c r="DF138" s="10"/>
      <c r="DG138" s="10"/>
      <c r="DH138" s="10"/>
    </row>
    <row r="139" spans="1:112" ht="15.75" customHeight="1" x14ac:dyDescent="0.3">
      <c r="A139" s="13" t="s">
        <v>278</v>
      </c>
      <c r="B139" s="14">
        <v>45597</v>
      </c>
      <c r="C139" s="13" t="s">
        <v>16</v>
      </c>
      <c r="D139" s="13" t="s">
        <v>17</v>
      </c>
      <c r="E139" s="13" t="s">
        <v>18</v>
      </c>
      <c r="F139" s="13" t="s">
        <v>19</v>
      </c>
      <c r="G139" s="13" t="s">
        <v>20</v>
      </c>
      <c r="H139" s="13">
        <v>5</v>
      </c>
      <c r="I139" s="13">
        <v>249.99</v>
      </c>
      <c r="J139" s="13" t="s">
        <v>27</v>
      </c>
      <c r="K139" s="13" t="s">
        <v>36</v>
      </c>
      <c r="L139" s="13" t="s">
        <v>37</v>
      </c>
      <c r="M139" s="14">
        <v>44881</v>
      </c>
      <c r="N139" s="13">
        <v>1249.95</v>
      </c>
      <c r="O139" s="10"/>
      <c r="P139" s="13"/>
      <c r="Q139" s="10"/>
      <c r="R139" s="17">
        <f t="shared" ca="1" si="8"/>
        <v>1291</v>
      </c>
      <c r="S139" s="43">
        <f t="shared" si="6"/>
        <v>45626</v>
      </c>
      <c r="T139" s="44" t="str">
        <f t="shared" si="7"/>
        <v>Sou</v>
      </c>
      <c r="U139" s="13"/>
      <c r="V139" s="10"/>
      <c r="W139" s="10"/>
      <c r="X139" s="10"/>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0"/>
      <c r="BC139" s="10"/>
      <c r="BD139" s="10"/>
      <c r="BE139" s="10"/>
      <c r="BF139" s="10"/>
      <c r="BG139" s="10"/>
      <c r="BH139" s="10"/>
      <c r="BI139" s="10"/>
      <c r="BJ139" s="10"/>
      <c r="BK139" s="10"/>
      <c r="BL139" s="10"/>
      <c r="BM139" s="10"/>
      <c r="BN139" s="10"/>
      <c r="BO139" s="10"/>
      <c r="BP139" s="10"/>
      <c r="BQ139" s="10"/>
      <c r="BR139" s="10"/>
      <c r="BS139" s="10"/>
      <c r="BT139" s="10"/>
      <c r="BU139" s="10"/>
      <c r="BV139" s="10"/>
      <c r="BW139" s="10"/>
      <c r="BX139" s="10"/>
      <c r="BY139" s="10"/>
      <c r="BZ139" s="10"/>
      <c r="CA139" s="10"/>
      <c r="CB139" s="10"/>
      <c r="CC139" s="10"/>
      <c r="CD139" s="10"/>
      <c r="CE139" s="10"/>
      <c r="CF139" s="10"/>
      <c r="CG139" s="10"/>
      <c r="CH139" s="10"/>
      <c r="CI139" s="10"/>
      <c r="CJ139" s="10"/>
      <c r="CK139" s="10"/>
      <c r="CL139" s="10"/>
      <c r="CM139" s="10"/>
      <c r="CN139" s="10"/>
      <c r="CO139" s="10"/>
      <c r="CP139" s="10"/>
      <c r="CQ139" s="10"/>
      <c r="CR139" s="10"/>
      <c r="CS139" s="10"/>
      <c r="CT139" s="10"/>
      <c r="CU139" s="10"/>
      <c r="CV139" s="10"/>
      <c r="CW139" s="10"/>
      <c r="CX139" s="10"/>
      <c r="CY139" s="10"/>
      <c r="CZ139" s="10"/>
      <c r="DA139" s="10"/>
      <c r="DB139" s="10"/>
      <c r="DC139" s="10"/>
      <c r="DD139" s="10"/>
      <c r="DE139" s="10"/>
      <c r="DF139" s="10"/>
      <c r="DG139" s="10"/>
      <c r="DH139" s="10"/>
    </row>
    <row r="140" spans="1:112" ht="15.75" customHeight="1" x14ac:dyDescent="0.3">
      <c r="A140" s="13" t="s">
        <v>279</v>
      </c>
      <c r="B140" s="14">
        <v>45600</v>
      </c>
      <c r="C140" s="13" t="s">
        <v>66</v>
      </c>
      <c r="D140" s="13" t="s">
        <v>67</v>
      </c>
      <c r="E140" s="13" t="s">
        <v>106</v>
      </c>
      <c r="F140" s="13" t="s">
        <v>107</v>
      </c>
      <c r="G140" s="13" t="s">
        <v>47</v>
      </c>
      <c r="H140" s="13">
        <v>3</v>
      </c>
      <c r="I140" s="13">
        <v>299.99</v>
      </c>
      <c r="J140" s="13" t="s">
        <v>27</v>
      </c>
      <c r="K140" s="13" t="s">
        <v>36</v>
      </c>
      <c r="L140" s="13" t="s">
        <v>37</v>
      </c>
      <c r="M140" s="14">
        <v>44502</v>
      </c>
      <c r="N140" s="13">
        <v>899.97</v>
      </c>
      <c r="O140" s="10"/>
      <c r="P140" s="13"/>
      <c r="Q140" s="10"/>
      <c r="R140" s="17">
        <f t="shared" ca="1" si="8"/>
        <v>1670</v>
      </c>
      <c r="S140" s="43">
        <f t="shared" si="6"/>
        <v>45626</v>
      </c>
      <c r="T140" s="44" t="str">
        <f t="shared" si="7"/>
        <v>Sou</v>
      </c>
      <c r="U140" s="13"/>
      <c r="V140" s="10"/>
      <c r="W140" s="10"/>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0"/>
      <c r="BC140" s="10"/>
      <c r="BD140" s="10"/>
      <c r="BE140" s="10"/>
      <c r="BF140" s="10"/>
      <c r="BG140" s="10"/>
      <c r="BH140" s="10"/>
      <c r="BI140" s="10"/>
      <c r="BJ140" s="10"/>
      <c r="BK140" s="10"/>
      <c r="BL140" s="10"/>
      <c r="BM140" s="10"/>
      <c r="BN140" s="10"/>
      <c r="BO140" s="10"/>
      <c r="BP140" s="10"/>
      <c r="BQ140" s="10"/>
      <c r="BR140" s="10"/>
      <c r="BS140" s="10"/>
      <c r="BT140" s="10"/>
      <c r="BU140" s="10"/>
      <c r="BV140" s="10"/>
      <c r="BW140" s="10"/>
      <c r="BX140" s="10"/>
      <c r="BY140" s="10"/>
      <c r="BZ140" s="10"/>
      <c r="CA140" s="10"/>
      <c r="CB140" s="10"/>
      <c r="CC140" s="10"/>
      <c r="CD140" s="10"/>
      <c r="CE140" s="10"/>
      <c r="CF140" s="10"/>
      <c r="CG140" s="10"/>
      <c r="CH140" s="10"/>
      <c r="CI140" s="10"/>
      <c r="CJ140" s="10"/>
      <c r="CK140" s="10"/>
      <c r="CL140" s="10"/>
      <c r="CM140" s="10"/>
      <c r="CN140" s="10"/>
      <c r="CO140" s="10"/>
      <c r="CP140" s="10"/>
      <c r="CQ140" s="10"/>
      <c r="CR140" s="10"/>
      <c r="CS140" s="10"/>
      <c r="CT140" s="10"/>
      <c r="CU140" s="10"/>
      <c r="CV140" s="10"/>
      <c r="CW140" s="10"/>
      <c r="CX140" s="10"/>
      <c r="CY140" s="10"/>
      <c r="CZ140" s="10"/>
      <c r="DA140" s="10"/>
      <c r="DB140" s="10"/>
      <c r="DC140" s="10"/>
      <c r="DD140" s="10"/>
      <c r="DE140" s="10"/>
      <c r="DF140" s="10"/>
      <c r="DG140" s="10"/>
      <c r="DH140" s="10"/>
    </row>
    <row r="141" spans="1:112" ht="15.75" customHeight="1" x14ac:dyDescent="0.3">
      <c r="A141" s="13" t="s">
        <v>280</v>
      </c>
      <c r="B141" s="14">
        <v>45603</v>
      </c>
      <c r="C141" s="13" t="s">
        <v>100</v>
      </c>
      <c r="D141" s="13" t="s">
        <v>101</v>
      </c>
      <c r="E141" s="13" t="s">
        <v>118</v>
      </c>
      <c r="F141" s="13" t="s">
        <v>119</v>
      </c>
      <c r="G141" s="13" t="s">
        <v>20</v>
      </c>
      <c r="H141" s="13">
        <v>3</v>
      </c>
      <c r="I141" s="13">
        <v>89.99</v>
      </c>
      <c r="J141" s="13" t="s">
        <v>27</v>
      </c>
      <c r="K141" s="13" t="s">
        <v>41</v>
      </c>
      <c r="L141" s="13" t="s">
        <v>28</v>
      </c>
      <c r="M141" s="14">
        <v>44420</v>
      </c>
      <c r="N141" s="13">
        <v>269.97000000000003</v>
      </c>
      <c r="O141" s="10"/>
      <c r="P141" s="13"/>
      <c r="Q141" s="10"/>
      <c r="R141" s="17">
        <f t="shared" ca="1" si="8"/>
        <v>1752</v>
      </c>
      <c r="S141" s="43">
        <f t="shared" si="6"/>
        <v>45626</v>
      </c>
      <c r="T141" s="44" t="str">
        <f t="shared" si="7"/>
        <v>Nor</v>
      </c>
      <c r="U141" s="13"/>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c r="BP141" s="10"/>
      <c r="BQ141" s="10"/>
      <c r="BR141" s="10"/>
      <c r="BS141" s="10"/>
      <c r="BT141" s="10"/>
      <c r="BU141" s="10"/>
      <c r="BV141" s="10"/>
      <c r="BW141" s="10"/>
      <c r="BX141" s="10"/>
      <c r="BY141" s="10"/>
      <c r="BZ141" s="10"/>
      <c r="CA141" s="10"/>
      <c r="CB141" s="10"/>
      <c r="CC141" s="10"/>
      <c r="CD141" s="10"/>
      <c r="CE141" s="10"/>
      <c r="CF141" s="10"/>
      <c r="CG141" s="10"/>
      <c r="CH141" s="10"/>
      <c r="CI141" s="10"/>
      <c r="CJ141" s="10"/>
      <c r="CK141" s="10"/>
      <c r="CL141" s="10"/>
      <c r="CM141" s="10"/>
      <c r="CN141" s="10"/>
      <c r="CO141" s="10"/>
      <c r="CP141" s="10"/>
      <c r="CQ141" s="10"/>
      <c r="CR141" s="10"/>
      <c r="CS141" s="10"/>
      <c r="CT141" s="10"/>
      <c r="CU141" s="10"/>
      <c r="CV141" s="10"/>
      <c r="CW141" s="10"/>
      <c r="CX141" s="10"/>
      <c r="CY141" s="10"/>
      <c r="CZ141" s="10"/>
      <c r="DA141" s="10"/>
      <c r="DB141" s="10"/>
      <c r="DC141" s="10"/>
      <c r="DD141" s="10"/>
      <c r="DE141" s="10"/>
      <c r="DF141" s="10"/>
      <c r="DG141" s="10"/>
      <c r="DH141" s="10"/>
    </row>
    <row r="142" spans="1:112" ht="15.75" customHeight="1" x14ac:dyDescent="0.3">
      <c r="A142" s="13" t="s">
        <v>281</v>
      </c>
      <c r="B142" s="14">
        <v>45604</v>
      </c>
      <c r="C142" s="13" t="s">
        <v>90</v>
      </c>
      <c r="D142" s="13" t="s">
        <v>91</v>
      </c>
      <c r="E142" s="13" t="s">
        <v>45</v>
      </c>
      <c r="F142" s="13" t="s">
        <v>46</v>
      </c>
      <c r="G142" s="13" t="s">
        <v>47</v>
      </c>
      <c r="H142" s="13">
        <v>2</v>
      </c>
      <c r="I142" s="13">
        <v>149.99</v>
      </c>
      <c r="J142" s="13" t="s">
        <v>27</v>
      </c>
      <c r="K142" s="13" t="s">
        <v>51</v>
      </c>
      <c r="L142" s="13" t="s">
        <v>28</v>
      </c>
      <c r="M142" s="14">
        <v>44848</v>
      </c>
      <c r="N142" s="13">
        <v>299.98</v>
      </c>
      <c r="O142" s="10"/>
      <c r="P142" s="13"/>
      <c r="Q142" s="10"/>
      <c r="R142" s="17">
        <f t="shared" ca="1" si="8"/>
        <v>1324</v>
      </c>
      <c r="S142" s="43">
        <f t="shared" si="6"/>
        <v>45626</v>
      </c>
      <c r="T142" s="44" t="str">
        <f t="shared" si="7"/>
        <v>Wes</v>
      </c>
      <c r="U142" s="13"/>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c r="BP142" s="10"/>
      <c r="BQ142" s="10"/>
      <c r="BR142" s="10"/>
      <c r="BS142" s="10"/>
      <c r="BT142" s="10"/>
      <c r="BU142" s="10"/>
      <c r="BV142" s="10"/>
      <c r="BW142" s="10"/>
      <c r="BX142" s="10"/>
      <c r="BY142" s="10"/>
      <c r="BZ142" s="10"/>
      <c r="CA142" s="10"/>
      <c r="CB142" s="10"/>
      <c r="CC142" s="10"/>
      <c r="CD142" s="10"/>
      <c r="CE142" s="10"/>
      <c r="CF142" s="10"/>
      <c r="CG142" s="10"/>
      <c r="CH142" s="10"/>
      <c r="CI142" s="10"/>
      <c r="CJ142" s="10"/>
      <c r="CK142" s="10"/>
      <c r="CL142" s="10"/>
      <c r="CM142" s="10"/>
      <c r="CN142" s="10"/>
      <c r="CO142" s="10"/>
      <c r="CP142" s="10"/>
      <c r="CQ142" s="10"/>
      <c r="CR142" s="10"/>
      <c r="CS142" s="10"/>
      <c r="CT142" s="10"/>
      <c r="CU142" s="10"/>
      <c r="CV142" s="10"/>
      <c r="CW142" s="10"/>
      <c r="CX142" s="10"/>
      <c r="CY142" s="10"/>
      <c r="CZ142" s="10"/>
      <c r="DA142" s="10"/>
      <c r="DB142" s="10"/>
      <c r="DC142" s="10"/>
      <c r="DD142" s="10"/>
      <c r="DE142" s="10"/>
      <c r="DF142" s="10"/>
      <c r="DG142" s="10"/>
      <c r="DH142" s="10"/>
    </row>
    <row r="143" spans="1:112" ht="15.75" customHeight="1" x14ac:dyDescent="0.3">
      <c r="A143" s="13" t="s">
        <v>282</v>
      </c>
      <c r="B143" s="14">
        <v>45605</v>
      </c>
      <c r="C143" s="13" t="s">
        <v>186</v>
      </c>
      <c r="D143" s="13" t="s">
        <v>187</v>
      </c>
      <c r="E143" s="13" t="s">
        <v>18</v>
      </c>
      <c r="F143" s="13" t="s">
        <v>19</v>
      </c>
      <c r="G143" s="13" t="s">
        <v>20</v>
      </c>
      <c r="H143" s="13">
        <v>1</v>
      </c>
      <c r="I143" s="13">
        <v>249.99</v>
      </c>
      <c r="J143" s="13" t="s">
        <v>27</v>
      </c>
      <c r="K143" s="13" t="s">
        <v>41</v>
      </c>
      <c r="L143" s="13" t="s">
        <v>28</v>
      </c>
      <c r="M143" s="14">
        <v>44828</v>
      </c>
      <c r="N143" s="13">
        <v>249.99</v>
      </c>
      <c r="O143" s="10"/>
      <c r="P143" s="13"/>
      <c r="Q143" s="10"/>
      <c r="R143" s="17">
        <f t="shared" ca="1" si="8"/>
        <v>1344</v>
      </c>
      <c r="S143" s="43">
        <f t="shared" si="6"/>
        <v>45626</v>
      </c>
      <c r="T143" s="44" t="str">
        <f t="shared" si="7"/>
        <v>Nor</v>
      </c>
      <c r="U143" s="13"/>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0"/>
      <c r="BC143" s="10"/>
      <c r="BD143" s="10"/>
      <c r="BE143" s="10"/>
      <c r="BF143" s="10"/>
      <c r="BG143" s="10"/>
      <c r="BH143" s="10"/>
      <c r="BI143" s="10"/>
      <c r="BJ143" s="10"/>
      <c r="BK143" s="10"/>
      <c r="BL143" s="10"/>
      <c r="BM143" s="10"/>
      <c r="BN143" s="10"/>
      <c r="BO143" s="10"/>
      <c r="BP143" s="10"/>
      <c r="BQ143" s="10"/>
      <c r="BR143" s="10"/>
      <c r="BS143" s="10"/>
      <c r="BT143" s="10"/>
      <c r="BU143" s="10"/>
      <c r="BV143" s="10"/>
      <c r="BW143" s="10"/>
      <c r="BX143" s="10"/>
      <c r="BY143" s="10"/>
      <c r="BZ143" s="10"/>
      <c r="CA143" s="10"/>
      <c r="CB143" s="10"/>
      <c r="CC143" s="10"/>
      <c r="CD143" s="10"/>
      <c r="CE143" s="10"/>
      <c r="CF143" s="10"/>
      <c r="CG143" s="10"/>
      <c r="CH143" s="10"/>
      <c r="CI143" s="10"/>
      <c r="CJ143" s="10"/>
      <c r="CK143" s="10"/>
      <c r="CL143" s="10"/>
      <c r="CM143" s="10"/>
      <c r="CN143" s="10"/>
      <c r="CO143" s="10"/>
      <c r="CP143" s="10"/>
      <c r="CQ143" s="10"/>
      <c r="CR143" s="10"/>
      <c r="CS143" s="10"/>
      <c r="CT143" s="10"/>
      <c r="CU143" s="10"/>
      <c r="CV143" s="10"/>
      <c r="CW143" s="10"/>
      <c r="CX143" s="10"/>
      <c r="CY143" s="10"/>
      <c r="CZ143" s="10"/>
      <c r="DA143" s="10"/>
      <c r="DB143" s="10"/>
      <c r="DC143" s="10"/>
      <c r="DD143" s="10"/>
      <c r="DE143" s="10"/>
      <c r="DF143" s="10"/>
      <c r="DG143" s="10"/>
      <c r="DH143" s="10"/>
    </row>
    <row r="144" spans="1:112" ht="15.75" customHeight="1" x14ac:dyDescent="0.3">
      <c r="A144" s="13" t="s">
        <v>283</v>
      </c>
      <c r="B144" s="14">
        <v>45607</v>
      </c>
      <c r="C144" s="13" t="s">
        <v>73</v>
      </c>
      <c r="D144" s="13" t="s">
        <v>74</v>
      </c>
      <c r="E144" s="13" t="s">
        <v>53</v>
      </c>
      <c r="F144" s="13" t="s">
        <v>54</v>
      </c>
      <c r="G144" s="13" t="s">
        <v>20</v>
      </c>
      <c r="H144" s="13">
        <v>3</v>
      </c>
      <c r="I144" s="13">
        <v>149.99</v>
      </c>
      <c r="J144" s="13" t="s">
        <v>21</v>
      </c>
      <c r="K144" s="13" t="s">
        <v>41</v>
      </c>
      <c r="L144" s="13" t="s">
        <v>23</v>
      </c>
      <c r="M144" s="14">
        <v>44769</v>
      </c>
      <c r="N144" s="13">
        <v>449.97</v>
      </c>
      <c r="O144" s="10"/>
      <c r="P144" s="13"/>
      <c r="Q144" s="10"/>
      <c r="R144" s="17">
        <f t="shared" ca="1" si="8"/>
        <v>1403</v>
      </c>
      <c r="S144" s="43">
        <f t="shared" si="6"/>
        <v>45626</v>
      </c>
      <c r="T144" s="44" t="str">
        <f t="shared" si="7"/>
        <v>Nor</v>
      </c>
      <c r="U144" s="13"/>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0"/>
      <c r="BC144" s="10"/>
      <c r="BD144" s="10"/>
      <c r="BE144" s="10"/>
      <c r="BF144" s="10"/>
      <c r="BG144" s="10"/>
      <c r="BH144" s="10"/>
      <c r="BI144" s="10"/>
      <c r="BJ144" s="10"/>
      <c r="BK144" s="10"/>
      <c r="BL144" s="10"/>
      <c r="BM144" s="10"/>
      <c r="BN144" s="10"/>
      <c r="BO144" s="10"/>
      <c r="BP144" s="10"/>
      <c r="BQ144" s="10"/>
      <c r="BR144" s="10"/>
      <c r="BS144" s="10"/>
      <c r="BT144" s="10"/>
      <c r="BU144" s="10"/>
      <c r="BV144" s="10"/>
      <c r="BW144" s="10"/>
      <c r="BX144" s="10"/>
      <c r="BY144" s="10"/>
      <c r="BZ144" s="10"/>
      <c r="CA144" s="10"/>
      <c r="CB144" s="10"/>
      <c r="CC144" s="10"/>
      <c r="CD144" s="10"/>
      <c r="CE144" s="10"/>
      <c r="CF144" s="10"/>
      <c r="CG144" s="10"/>
      <c r="CH144" s="10"/>
      <c r="CI144" s="10"/>
      <c r="CJ144" s="10"/>
      <c r="CK144" s="10"/>
      <c r="CL144" s="10"/>
      <c r="CM144" s="10"/>
      <c r="CN144" s="10"/>
      <c r="CO144" s="10"/>
      <c r="CP144" s="10"/>
      <c r="CQ144" s="10"/>
      <c r="CR144" s="10"/>
      <c r="CS144" s="10"/>
      <c r="CT144" s="10"/>
      <c r="CU144" s="10"/>
      <c r="CV144" s="10"/>
      <c r="CW144" s="10"/>
      <c r="CX144" s="10"/>
      <c r="CY144" s="10"/>
      <c r="CZ144" s="10"/>
      <c r="DA144" s="10"/>
      <c r="DB144" s="10"/>
      <c r="DC144" s="10"/>
      <c r="DD144" s="10"/>
      <c r="DE144" s="10"/>
      <c r="DF144" s="10"/>
      <c r="DG144" s="10"/>
      <c r="DH144" s="10"/>
    </row>
    <row r="145" spans="1:112" ht="15.75" customHeight="1" x14ac:dyDescent="0.3">
      <c r="A145" s="13" t="s">
        <v>284</v>
      </c>
      <c r="B145" s="14">
        <v>45607</v>
      </c>
      <c r="C145" s="13" t="s">
        <v>16</v>
      </c>
      <c r="D145" s="13" t="s">
        <v>17</v>
      </c>
      <c r="E145" s="13" t="s">
        <v>32</v>
      </c>
      <c r="F145" s="13" t="s">
        <v>33</v>
      </c>
      <c r="G145" s="13" t="s">
        <v>34</v>
      </c>
      <c r="H145" s="13">
        <v>5</v>
      </c>
      <c r="I145" s="13">
        <v>59.99</v>
      </c>
      <c r="J145" s="13" t="s">
        <v>35</v>
      </c>
      <c r="K145" s="13" t="s">
        <v>51</v>
      </c>
      <c r="L145" s="13" t="s">
        <v>28</v>
      </c>
      <c r="M145" s="14">
        <v>44694</v>
      </c>
      <c r="N145" s="13">
        <v>299.95</v>
      </c>
      <c r="O145" s="10"/>
      <c r="P145" s="13"/>
      <c r="Q145" s="10"/>
      <c r="R145" s="17">
        <f t="shared" ca="1" si="8"/>
        <v>1478</v>
      </c>
      <c r="S145" s="43">
        <f t="shared" si="6"/>
        <v>45626</v>
      </c>
      <c r="T145" s="44" t="str">
        <f t="shared" si="7"/>
        <v>Wes</v>
      </c>
      <c r="U145" s="13"/>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10"/>
      <c r="BJ145" s="10"/>
      <c r="BK145" s="10"/>
      <c r="BL145" s="10"/>
      <c r="BM145" s="10"/>
      <c r="BN145" s="10"/>
      <c r="BO145" s="10"/>
      <c r="BP145" s="10"/>
      <c r="BQ145" s="10"/>
      <c r="BR145" s="10"/>
      <c r="BS145" s="10"/>
      <c r="BT145" s="10"/>
      <c r="BU145" s="10"/>
      <c r="BV145" s="10"/>
      <c r="BW145" s="10"/>
      <c r="BX145" s="10"/>
      <c r="BY145" s="10"/>
      <c r="BZ145" s="10"/>
      <c r="CA145" s="10"/>
      <c r="CB145" s="10"/>
      <c r="CC145" s="10"/>
      <c r="CD145" s="10"/>
      <c r="CE145" s="10"/>
      <c r="CF145" s="10"/>
      <c r="CG145" s="10"/>
      <c r="CH145" s="10"/>
      <c r="CI145" s="10"/>
      <c r="CJ145" s="10"/>
      <c r="CK145" s="10"/>
      <c r="CL145" s="10"/>
      <c r="CM145" s="10"/>
      <c r="CN145" s="10"/>
      <c r="CO145" s="10"/>
      <c r="CP145" s="10"/>
      <c r="CQ145" s="10"/>
      <c r="CR145" s="10"/>
      <c r="CS145" s="10"/>
      <c r="CT145" s="10"/>
      <c r="CU145" s="10"/>
      <c r="CV145" s="10"/>
      <c r="CW145" s="10"/>
      <c r="CX145" s="10"/>
      <c r="CY145" s="10"/>
      <c r="CZ145" s="10"/>
      <c r="DA145" s="10"/>
      <c r="DB145" s="10"/>
      <c r="DC145" s="10"/>
      <c r="DD145" s="10"/>
      <c r="DE145" s="10"/>
      <c r="DF145" s="10"/>
      <c r="DG145" s="10"/>
      <c r="DH145" s="10"/>
    </row>
    <row r="146" spans="1:112" ht="15.75" customHeight="1" x14ac:dyDescent="0.3">
      <c r="A146" s="13" t="s">
        <v>285</v>
      </c>
      <c r="B146" s="14">
        <v>45607</v>
      </c>
      <c r="C146" s="13" t="s">
        <v>100</v>
      </c>
      <c r="D146" s="13" t="s">
        <v>101</v>
      </c>
      <c r="E146" s="13" t="s">
        <v>18</v>
      </c>
      <c r="F146" s="13" t="s">
        <v>19</v>
      </c>
      <c r="G146" s="13" t="s">
        <v>20</v>
      </c>
      <c r="H146" s="13">
        <v>4</v>
      </c>
      <c r="I146" s="13">
        <v>249.99</v>
      </c>
      <c r="J146" s="13" t="s">
        <v>27</v>
      </c>
      <c r="K146" s="13" t="s">
        <v>51</v>
      </c>
      <c r="L146" s="13" t="s">
        <v>37</v>
      </c>
      <c r="M146" s="14">
        <v>44659</v>
      </c>
      <c r="N146" s="13">
        <v>999.96</v>
      </c>
      <c r="O146" s="10"/>
      <c r="P146" s="13"/>
      <c r="Q146" s="10"/>
      <c r="R146" s="17">
        <f t="shared" ca="1" si="8"/>
        <v>1513</v>
      </c>
      <c r="S146" s="43">
        <f t="shared" si="6"/>
        <v>45626</v>
      </c>
      <c r="T146" s="44" t="str">
        <f t="shared" si="7"/>
        <v>Wes</v>
      </c>
      <c r="U146" s="13"/>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10"/>
      <c r="BJ146" s="10"/>
      <c r="BK146" s="10"/>
      <c r="BL146" s="10"/>
      <c r="BM146" s="10"/>
      <c r="BN146" s="10"/>
      <c r="BO146" s="10"/>
      <c r="BP146" s="10"/>
      <c r="BQ146" s="10"/>
      <c r="BR146" s="10"/>
      <c r="BS146" s="10"/>
      <c r="BT146" s="10"/>
      <c r="BU146" s="10"/>
      <c r="BV146" s="10"/>
      <c r="BW146" s="10"/>
      <c r="BX146" s="10"/>
      <c r="BY146" s="10"/>
      <c r="BZ146" s="10"/>
      <c r="CA146" s="10"/>
      <c r="CB146" s="10"/>
      <c r="CC146" s="10"/>
      <c r="CD146" s="10"/>
      <c r="CE146" s="10"/>
      <c r="CF146" s="10"/>
      <c r="CG146" s="10"/>
      <c r="CH146" s="10"/>
      <c r="CI146" s="10"/>
      <c r="CJ146" s="10"/>
      <c r="CK146" s="10"/>
      <c r="CL146" s="10"/>
      <c r="CM146" s="10"/>
      <c r="CN146" s="10"/>
      <c r="CO146" s="10"/>
      <c r="CP146" s="10"/>
      <c r="CQ146" s="10"/>
      <c r="CR146" s="10"/>
      <c r="CS146" s="10"/>
      <c r="CT146" s="10"/>
      <c r="CU146" s="10"/>
      <c r="CV146" s="10"/>
      <c r="CW146" s="10"/>
      <c r="CX146" s="10"/>
      <c r="CY146" s="10"/>
      <c r="CZ146" s="10"/>
      <c r="DA146" s="10"/>
      <c r="DB146" s="10"/>
      <c r="DC146" s="10"/>
      <c r="DD146" s="10"/>
      <c r="DE146" s="10"/>
      <c r="DF146" s="10"/>
      <c r="DG146" s="10"/>
      <c r="DH146" s="10"/>
    </row>
    <row r="147" spans="1:112" ht="15.75" customHeight="1" x14ac:dyDescent="0.3">
      <c r="A147" s="13" t="s">
        <v>286</v>
      </c>
      <c r="B147" s="14">
        <v>45608</v>
      </c>
      <c r="C147" s="13" t="s">
        <v>155</v>
      </c>
      <c r="D147" s="13" t="s">
        <v>156</v>
      </c>
      <c r="E147" s="13" t="s">
        <v>45</v>
      </c>
      <c r="F147" s="13" t="s">
        <v>46</v>
      </c>
      <c r="G147" s="13" t="s">
        <v>47</v>
      </c>
      <c r="H147" s="13">
        <v>5</v>
      </c>
      <c r="I147" s="13">
        <v>149.99</v>
      </c>
      <c r="J147" s="13" t="s">
        <v>35</v>
      </c>
      <c r="K147" s="13" t="s">
        <v>22</v>
      </c>
      <c r="L147" s="13" t="s">
        <v>23</v>
      </c>
      <c r="M147" s="14">
        <v>44901</v>
      </c>
      <c r="N147" s="13">
        <v>749.95</v>
      </c>
      <c r="O147" s="10"/>
      <c r="P147" s="13"/>
      <c r="Q147" s="10"/>
      <c r="R147" s="17">
        <f t="shared" ca="1" si="8"/>
        <v>1271</v>
      </c>
      <c r="S147" s="43">
        <f t="shared" si="6"/>
        <v>45626</v>
      </c>
      <c r="T147" s="44" t="str">
        <f t="shared" si="7"/>
        <v>Cen</v>
      </c>
      <c r="U147" s="13"/>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0"/>
      <c r="BC147" s="10"/>
      <c r="BD147" s="10"/>
      <c r="BE147" s="10"/>
      <c r="BF147" s="10"/>
      <c r="BG147" s="10"/>
      <c r="BH147" s="10"/>
      <c r="BI147" s="10"/>
      <c r="BJ147" s="10"/>
      <c r="BK147" s="10"/>
      <c r="BL147" s="10"/>
      <c r="BM147" s="10"/>
      <c r="BN147" s="10"/>
      <c r="BO147" s="10"/>
      <c r="BP147" s="10"/>
      <c r="BQ147" s="10"/>
      <c r="BR147" s="10"/>
      <c r="BS147" s="10"/>
      <c r="BT147" s="10"/>
      <c r="BU147" s="10"/>
      <c r="BV147" s="10"/>
      <c r="BW147" s="10"/>
      <c r="BX147" s="10"/>
      <c r="BY147" s="10"/>
      <c r="BZ147" s="10"/>
      <c r="CA147" s="10"/>
      <c r="CB147" s="10"/>
      <c r="CC147" s="10"/>
      <c r="CD147" s="10"/>
      <c r="CE147" s="10"/>
      <c r="CF147" s="10"/>
      <c r="CG147" s="10"/>
      <c r="CH147" s="10"/>
      <c r="CI147" s="10"/>
      <c r="CJ147" s="10"/>
      <c r="CK147" s="10"/>
      <c r="CL147" s="10"/>
      <c r="CM147" s="10"/>
      <c r="CN147" s="10"/>
      <c r="CO147" s="10"/>
      <c r="CP147" s="10"/>
      <c r="CQ147" s="10"/>
      <c r="CR147" s="10"/>
      <c r="CS147" s="10"/>
      <c r="CT147" s="10"/>
      <c r="CU147" s="10"/>
      <c r="CV147" s="10"/>
      <c r="CW147" s="10"/>
      <c r="CX147" s="10"/>
      <c r="CY147" s="10"/>
      <c r="CZ147" s="10"/>
      <c r="DA147" s="10"/>
      <c r="DB147" s="10"/>
      <c r="DC147" s="10"/>
      <c r="DD147" s="10"/>
      <c r="DE147" s="10"/>
      <c r="DF147" s="10"/>
      <c r="DG147" s="10"/>
      <c r="DH147" s="10"/>
    </row>
    <row r="148" spans="1:112" ht="15.75" customHeight="1" x14ac:dyDescent="0.3">
      <c r="A148" s="13" t="s">
        <v>287</v>
      </c>
      <c r="B148" s="14">
        <v>45608</v>
      </c>
      <c r="C148" s="13" t="s">
        <v>84</v>
      </c>
      <c r="D148" s="13" t="s">
        <v>85</v>
      </c>
      <c r="E148" s="13" t="s">
        <v>32</v>
      </c>
      <c r="F148" s="13" t="s">
        <v>33</v>
      </c>
      <c r="G148" s="13" t="s">
        <v>34</v>
      </c>
      <c r="H148" s="13">
        <v>3</v>
      </c>
      <c r="I148" s="13">
        <v>59.99</v>
      </c>
      <c r="J148" s="13" t="s">
        <v>58</v>
      </c>
      <c r="K148" s="13" t="s">
        <v>36</v>
      </c>
      <c r="L148" s="13" t="s">
        <v>37</v>
      </c>
      <c r="M148" s="14">
        <v>45260</v>
      </c>
      <c r="N148" s="13">
        <v>179.97</v>
      </c>
      <c r="O148" s="10"/>
      <c r="P148" s="13"/>
      <c r="Q148" s="10"/>
      <c r="R148" s="17">
        <f t="shared" ca="1" si="8"/>
        <v>912</v>
      </c>
      <c r="S148" s="43">
        <f t="shared" si="6"/>
        <v>45626</v>
      </c>
      <c r="T148" s="44" t="str">
        <f t="shared" si="7"/>
        <v>Sou</v>
      </c>
      <c r="U148" s="13"/>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0"/>
      <c r="BC148" s="10"/>
      <c r="BD148" s="10"/>
      <c r="BE148" s="10"/>
      <c r="BF148" s="10"/>
      <c r="BG148" s="10"/>
      <c r="BH148" s="10"/>
      <c r="BI148" s="10"/>
      <c r="BJ148" s="10"/>
      <c r="BK148" s="10"/>
      <c r="BL148" s="10"/>
      <c r="BM148" s="10"/>
      <c r="BN148" s="10"/>
      <c r="BO148" s="10"/>
      <c r="BP148" s="10"/>
      <c r="BQ148" s="10"/>
      <c r="BR148" s="10"/>
      <c r="BS148" s="10"/>
      <c r="BT148" s="10"/>
      <c r="BU148" s="10"/>
      <c r="BV148" s="10"/>
      <c r="BW148" s="10"/>
      <c r="BX148" s="10"/>
      <c r="BY148" s="10"/>
      <c r="BZ148" s="10"/>
      <c r="CA148" s="10"/>
      <c r="CB148" s="10"/>
      <c r="CC148" s="10"/>
      <c r="CD148" s="10"/>
      <c r="CE148" s="10"/>
      <c r="CF148" s="10"/>
      <c r="CG148" s="10"/>
      <c r="CH148" s="10"/>
      <c r="CI148" s="10"/>
      <c r="CJ148" s="10"/>
      <c r="CK148" s="10"/>
      <c r="CL148" s="10"/>
      <c r="CM148" s="10"/>
      <c r="CN148" s="10"/>
      <c r="CO148" s="10"/>
      <c r="CP148" s="10"/>
      <c r="CQ148" s="10"/>
      <c r="CR148" s="10"/>
      <c r="CS148" s="10"/>
      <c r="CT148" s="10"/>
      <c r="CU148" s="10"/>
      <c r="CV148" s="10"/>
      <c r="CW148" s="10"/>
      <c r="CX148" s="10"/>
      <c r="CY148" s="10"/>
      <c r="CZ148" s="10"/>
      <c r="DA148" s="10"/>
      <c r="DB148" s="10"/>
      <c r="DC148" s="10"/>
      <c r="DD148" s="10"/>
      <c r="DE148" s="10"/>
      <c r="DF148" s="10"/>
      <c r="DG148" s="10"/>
      <c r="DH148" s="10"/>
    </row>
    <row r="149" spans="1:112" ht="15.75" customHeight="1" x14ac:dyDescent="0.3">
      <c r="A149" s="13" t="s">
        <v>288</v>
      </c>
      <c r="B149" s="14">
        <v>45613</v>
      </c>
      <c r="C149" s="13" t="s">
        <v>235</v>
      </c>
      <c r="D149" s="13" t="s">
        <v>236</v>
      </c>
      <c r="E149" s="13" t="s">
        <v>45</v>
      </c>
      <c r="F149" s="13" t="s">
        <v>46</v>
      </c>
      <c r="G149" s="13" t="s">
        <v>47</v>
      </c>
      <c r="H149" s="13">
        <v>5</v>
      </c>
      <c r="I149" s="13">
        <v>149.99</v>
      </c>
      <c r="J149" s="13" t="s">
        <v>21</v>
      </c>
      <c r="K149" s="13" t="s">
        <v>41</v>
      </c>
      <c r="L149" s="13" t="s">
        <v>23</v>
      </c>
      <c r="M149" s="14">
        <v>44869</v>
      </c>
      <c r="N149" s="13">
        <v>749.95</v>
      </c>
      <c r="O149" s="10"/>
      <c r="P149" s="13"/>
      <c r="Q149" s="10"/>
      <c r="R149" s="17">
        <f t="shared" ca="1" si="8"/>
        <v>1303</v>
      </c>
      <c r="S149" s="43">
        <f t="shared" si="6"/>
        <v>45626</v>
      </c>
      <c r="T149" s="44" t="str">
        <f t="shared" si="7"/>
        <v>Nor</v>
      </c>
      <c r="U149" s="13"/>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0"/>
      <c r="BC149" s="10"/>
      <c r="BD149" s="10"/>
      <c r="BE149" s="10"/>
      <c r="BF149" s="10"/>
      <c r="BG149" s="10"/>
      <c r="BH149" s="10"/>
      <c r="BI149" s="10"/>
      <c r="BJ149" s="10"/>
      <c r="BK149" s="10"/>
      <c r="BL149" s="10"/>
      <c r="BM149" s="10"/>
      <c r="BN149" s="10"/>
      <c r="BO149" s="10"/>
      <c r="BP149" s="10"/>
      <c r="BQ149" s="10"/>
      <c r="BR149" s="10"/>
      <c r="BS149" s="10"/>
      <c r="BT149" s="10"/>
      <c r="BU149" s="10"/>
      <c r="BV149" s="10"/>
      <c r="BW149" s="10"/>
      <c r="BX149" s="10"/>
      <c r="BY149" s="10"/>
      <c r="BZ149" s="10"/>
      <c r="CA149" s="10"/>
      <c r="CB149" s="10"/>
      <c r="CC149" s="10"/>
      <c r="CD149" s="10"/>
      <c r="CE149" s="10"/>
      <c r="CF149" s="10"/>
      <c r="CG149" s="10"/>
      <c r="CH149" s="10"/>
      <c r="CI149" s="10"/>
      <c r="CJ149" s="10"/>
      <c r="CK149" s="10"/>
      <c r="CL149" s="10"/>
      <c r="CM149" s="10"/>
      <c r="CN149" s="10"/>
      <c r="CO149" s="10"/>
      <c r="CP149" s="10"/>
      <c r="CQ149" s="10"/>
      <c r="CR149" s="10"/>
      <c r="CS149" s="10"/>
      <c r="CT149" s="10"/>
      <c r="CU149" s="10"/>
      <c r="CV149" s="10"/>
      <c r="CW149" s="10"/>
      <c r="CX149" s="10"/>
      <c r="CY149" s="10"/>
      <c r="CZ149" s="10"/>
      <c r="DA149" s="10"/>
      <c r="DB149" s="10"/>
      <c r="DC149" s="10"/>
      <c r="DD149" s="10"/>
      <c r="DE149" s="10"/>
      <c r="DF149" s="10"/>
      <c r="DG149" s="10"/>
      <c r="DH149" s="10"/>
    </row>
    <row r="150" spans="1:112" ht="15.75" customHeight="1" x14ac:dyDescent="0.3">
      <c r="A150" s="13" t="s">
        <v>289</v>
      </c>
      <c r="B150" s="14">
        <v>45613</v>
      </c>
      <c r="C150" s="13" t="s">
        <v>87</v>
      </c>
      <c r="D150" s="13" t="s">
        <v>88</v>
      </c>
      <c r="E150" s="13" t="s">
        <v>81</v>
      </c>
      <c r="F150" s="13" t="s">
        <v>82</v>
      </c>
      <c r="G150" s="13" t="s">
        <v>20</v>
      </c>
      <c r="H150" s="13">
        <v>2</v>
      </c>
      <c r="I150" s="13">
        <v>699.99</v>
      </c>
      <c r="J150" s="13" t="s">
        <v>35</v>
      </c>
      <c r="K150" s="13" t="s">
        <v>51</v>
      </c>
      <c r="L150" s="13" t="s">
        <v>37</v>
      </c>
      <c r="M150" s="14">
        <v>44770</v>
      </c>
      <c r="N150" s="13">
        <v>1399.98</v>
      </c>
      <c r="O150" s="10"/>
      <c r="P150" s="13"/>
      <c r="Q150" s="10"/>
      <c r="R150" s="17">
        <f t="shared" ca="1" si="8"/>
        <v>1402</v>
      </c>
      <c r="S150" s="43">
        <f t="shared" si="6"/>
        <v>45626</v>
      </c>
      <c r="T150" s="44" t="str">
        <f t="shared" si="7"/>
        <v>Wes</v>
      </c>
      <c r="U150" s="13"/>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0"/>
      <c r="BC150" s="10"/>
      <c r="BD150" s="10"/>
      <c r="BE150" s="10"/>
      <c r="BF150" s="10"/>
      <c r="BG150" s="10"/>
      <c r="BH150" s="10"/>
      <c r="BI150" s="10"/>
      <c r="BJ150" s="10"/>
      <c r="BK150" s="10"/>
      <c r="BL150" s="10"/>
      <c r="BM150" s="10"/>
      <c r="BN150" s="10"/>
      <c r="BO150" s="10"/>
      <c r="BP150" s="10"/>
      <c r="BQ150" s="10"/>
      <c r="BR150" s="10"/>
      <c r="BS150" s="10"/>
      <c r="BT150" s="10"/>
      <c r="BU150" s="10"/>
      <c r="BV150" s="10"/>
      <c r="BW150" s="10"/>
      <c r="BX150" s="10"/>
      <c r="BY150" s="10"/>
      <c r="BZ150" s="10"/>
      <c r="CA150" s="10"/>
      <c r="CB150" s="10"/>
      <c r="CC150" s="10"/>
      <c r="CD150" s="10"/>
      <c r="CE150" s="10"/>
      <c r="CF150" s="10"/>
      <c r="CG150" s="10"/>
      <c r="CH150" s="10"/>
      <c r="CI150" s="10"/>
      <c r="CJ150" s="10"/>
      <c r="CK150" s="10"/>
      <c r="CL150" s="10"/>
      <c r="CM150" s="10"/>
      <c r="CN150" s="10"/>
      <c r="CO150" s="10"/>
      <c r="CP150" s="10"/>
      <c r="CQ150" s="10"/>
      <c r="CR150" s="10"/>
      <c r="CS150" s="10"/>
      <c r="CT150" s="10"/>
      <c r="CU150" s="10"/>
      <c r="CV150" s="10"/>
      <c r="CW150" s="10"/>
      <c r="CX150" s="10"/>
      <c r="CY150" s="10"/>
      <c r="CZ150" s="10"/>
      <c r="DA150" s="10"/>
      <c r="DB150" s="10"/>
      <c r="DC150" s="10"/>
      <c r="DD150" s="10"/>
      <c r="DE150" s="10"/>
      <c r="DF150" s="10"/>
      <c r="DG150" s="10"/>
      <c r="DH150" s="10"/>
    </row>
    <row r="151" spans="1:112" ht="15.75" customHeight="1" x14ac:dyDescent="0.3">
      <c r="A151" s="13" t="s">
        <v>290</v>
      </c>
      <c r="B151" s="14">
        <v>45617</v>
      </c>
      <c r="C151" s="13" t="s">
        <v>124</v>
      </c>
      <c r="D151" s="13" t="s">
        <v>125</v>
      </c>
      <c r="E151" s="13" t="s">
        <v>127</v>
      </c>
      <c r="F151" s="13" t="s">
        <v>128</v>
      </c>
      <c r="G151" s="13" t="s">
        <v>47</v>
      </c>
      <c r="H151" s="13">
        <v>4</v>
      </c>
      <c r="I151" s="13">
        <v>199.99</v>
      </c>
      <c r="J151" s="13" t="s">
        <v>58</v>
      </c>
      <c r="K151" s="13" t="s">
        <v>22</v>
      </c>
      <c r="L151" s="13" t="s">
        <v>28</v>
      </c>
      <c r="M151" s="14">
        <v>44427</v>
      </c>
      <c r="N151" s="13">
        <v>799.96</v>
      </c>
      <c r="O151" s="10"/>
      <c r="P151" s="13"/>
      <c r="Q151" s="10"/>
      <c r="R151" s="17">
        <f t="shared" ca="1" si="8"/>
        <v>1745</v>
      </c>
      <c r="S151" s="43">
        <f t="shared" si="6"/>
        <v>45626</v>
      </c>
      <c r="T151" s="44" t="str">
        <f t="shared" si="7"/>
        <v>Cen</v>
      </c>
      <c r="U151" s="13"/>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0"/>
      <c r="BC151" s="10"/>
      <c r="BD151" s="10"/>
      <c r="BE151" s="10"/>
      <c r="BF151" s="10"/>
      <c r="BG151" s="10"/>
      <c r="BH151" s="10"/>
      <c r="BI151" s="10"/>
      <c r="BJ151" s="10"/>
      <c r="BK151" s="10"/>
      <c r="BL151" s="10"/>
      <c r="BM151" s="10"/>
      <c r="BN151" s="10"/>
      <c r="BO151" s="10"/>
      <c r="BP151" s="10"/>
      <c r="BQ151" s="10"/>
      <c r="BR151" s="10"/>
      <c r="BS151" s="10"/>
      <c r="BT151" s="10"/>
      <c r="BU151" s="10"/>
      <c r="BV151" s="10"/>
      <c r="BW151" s="10"/>
      <c r="BX151" s="10"/>
      <c r="BY151" s="10"/>
      <c r="BZ151" s="10"/>
      <c r="CA151" s="10"/>
      <c r="CB151" s="10"/>
      <c r="CC151" s="10"/>
      <c r="CD151" s="10"/>
      <c r="CE151" s="10"/>
      <c r="CF151" s="10"/>
      <c r="CG151" s="10"/>
      <c r="CH151" s="10"/>
      <c r="CI151" s="10"/>
      <c r="CJ151" s="10"/>
      <c r="CK151" s="10"/>
      <c r="CL151" s="10"/>
      <c r="CM151" s="10"/>
      <c r="CN151" s="10"/>
      <c r="CO151" s="10"/>
      <c r="CP151" s="10"/>
      <c r="CQ151" s="10"/>
      <c r="CR151" s="10"/>
      <c r="CS151" s="10"/>
      <c r="CT151" s="10"/>
      <c r="CU151" s="10"/>
      <c r="CV151" s="10"/>
      <c r="CW151" s="10"/>
      <c r="CX151" s="10"/>
      <c r="CY151" s="10"/>
      <c r="CZ151" s="10"/>
      <c r="DA151" s="10"/>
      <c r="DB151" s="10"/>
      <c r="DC151" s="10"/>
      <c r="DD151" s="10"/>
      <c r="DE151" s="10"/>
      <c r="DF151" s="10"/>
      <c r="DG151" s="10"/>
      <c r="DH151" s="10"/>
    </row>
    <row r="152" spans="1:112" ht="15.75" customHeight="1" x14ac:dyDescent="0.3">
      <c r="A152" s="13" t="s">
        <v>291</v>
      </c>
      <c r="B152" s="14">
        <v>45619</v>
      </c>
      <c r="C152" s="13" t="s">
        <v>193</v>
      </c>
      <c r="D152" s="13" t="s">
        <v>194</v>
      </c>
      <c r="E152" s="13" t="s">
        <v>32</v>
      </c>
      <c r="F152" s="13" t="s">
        <v>33</v>
      </c>
      <c r="G152" s="13" t="s">
        <v>34</v>
      </c>
      <c r="H152" s="13">
        <v>1</v>
      </c>
      <c r="I152" s="13">
        <v>59.99</v>
      </c>
      <c r="J152" s="13" t="s">
        <v>58</v>
      </c>
      <c r="K152" s="13" t="s">
        <v>51</v>
      </c>
      <c r="L152" s="13" t="s">
        <v>37</v>
      </c>
      <c r="M152" s="14">
        <v>44560</v>
      </c>
      <c r="N152" s="13">
        <v>59.99</v>
      </c>
      <c r="O152" s="10"/>
      <c r="P152" s="13"/>
      <c r="Q152" s="10"/>
      <c r="R152" s="17">
        <f t="shared" ca="1" si="8"/>
        <v>1612</v>
      </c>
      <c r="S152" s="43">
        <f t="shared" si="6"/>
        <v>45626</v>
      </c>
      <c r="T152" s="44" t="str">
        <f t="shared" si="7"/>
        <v>Wes</v>
      </c>
      <c r="U152" s="13"/>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0"/>
      <c r="BC152" s="10"/>
      <c r="BD152" s="10"/>
      <c r="BE152" s="10"/>
      <c r="BF152" s="10"/>
      <c r="BG152" s="10"/>
      <c r="BH152" s="10"/>
      <c r="BI152" s="10"/>
      <c r="BJ152" s="10"/>
      <c r="BK152" s="10"/>
      <c r="BL152" s="10"/>
      <c r="BM152" s="10"/>
      <c r="BN152" s="10"/>
      <c r="BO152" s="10"/>
      <c r="BP152" s="10"/>
      <c r="BQ152" s="10"/>
      <c r="BR152" s="10"/>
      <c r="BS152" s="10"/>
      <c r="BT152" s="10"/>
      <c r="BU152" s="10"/>
      <c r="BV152" s="10"/>
      <c r="BW152" s="10"/>
      <c r="BX152" s="10"/>
      <c r="BY152" s="10"/>
      <c r="BZ152" s="10"/>
      <c r="CA152" s="10"/>
      <c r="CB152" s="10"/>
      <c r="CC152" s="10"/>
      <c r="CD152" s="10"/>
      <c r="CE152" s="10"/>
      <c r="CF152" s="10"/>
      <c r="CG152" s="10"/>
      <c r="CH152" s="10"/>
      <c r="CI152" s="10"/>
      <c r="CJ152" s="10"/>
      <c r="CK152" s="10"/>
      <c r="CL152" s="10"/>
      <c r="CM152" s="10"/>
      <c r="CN152" s="10"/>
      <c r="CO152" s="10"/>
      <c r="CP152" s="10"/>
      <c r="CQ152" s="10"/>
      <c r="CR152" s="10"/>
      <c r="CS152" s="10"/>
      <c r="CT152" s="10"/>
      <c r="CU152" s="10"/>
      <c r="CV152" s="10"/>
      <c r="CW152" s="10"/>
      <c r="CX152" s="10"/>
      <c r="CY152" s="10"/>
      <c r="CZ152" s="10"/>
      <c r="DA152" s="10"/>
      <c r="DB152" s="10"/>
      <c r="DC152" s="10"/>
      <c r="DD152" s="10"/>
      <c r="DE152" s="10"/>
      <c r="DF152" s="10"/>
      <c r="DG152" s="10"/>
      <c r="DH152" s="10"/>
    </row>
    <row r="153" spans="1:112" ht="15.75" customHeight="1" x14ac:dyDescent="0.3">
      <c r="A153" s="13" t="s">
        <v>292</v>
      </c>
      <c r="B153" s="14">
        <v>45619</v>
      </c>
      <c r="C153" s="13" t="s">
        <v>155</v>
      </c>
      <c r="D153" s="13" t="s">
        <v>156</v>
      </c>
      <c r="E153" s="13" t="s">
        <v>81</v>
      </c>
      <c r="F153" s="13" t="s">
        <v>82</v>
      </c>
      <c r="G153" s="13" t="s">
        <v>20</v>
      </c>
      <c r="H153" s="13">
        <v>3</v>
      </c>
      <c r="I153" s="13">
        <v>699.99</v>
      </c>
      <c r="J153" s="13" t="s">
        <v>35</v>
      </c>
      <c r="K153" s="13" t="s">
        <v>51</v>
      </c>
      <c r="L153" s="13" t="s">
        <v>37</v>
      </c>
      <c r="M153" s="14">
        <v>44583</v>
      </c>
      <c r="N153" s="13">
        <v>2099.9699999999998</v>
      </c>
      <c r="O153" s="10"/>
      <c r="P153" s="13"/>
      <c r="Q153" s="10"/>
      <c r="R153" s="17">
        <f t="shared" ca="1" si="8"/>
        <v>1589</v>
      </c>
      <c r="S153" s="43">
        <f t="shared" si="6"/>
        <v>45626</v>
      </c>
      <c r="T153" s="44" t="str">
        <f t="shared" si="7"/>
        <v>Wes</v>
      </c>
      <c r="U153" s="13"/>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10"/>
      <c r="BJ153" s="10"/>
      <c r="BK153" s="10"/>
      <c r="BL153" s="10"/>
      <c r="BM153" s="10"/>
      <c r="BN153" s="10"/>
      <c r="BO153" s="10"/>
      <c r="BP153" s="10"/>
      <c r="BQ153" s="10"/>
      <c r="BR153" s="10"/>
      <c r="BS153" s="10"/>
      <c r="BT153" s="10"/>
      <c r="BU153" s="10"/>
      <c r="BV153" s="10"/>
      <c r="BW153" s="10"/>
      <c r="BX153" s="10"/>
      <c r="BY153" s="10"/>
      <c r="BZ153" s="10"/>
      <c r="CA153" s="10"/>
      <c r="CB153" s="10"/>
      <c r="CC153" s="10"/>
      <c r="CD153" s="10"/>
      <c r="CE153" s="10"/>
      <c r="CF153" s="10"/>
      <c r="CG153" s="10"/>
      <c r="CH153" s="10"/>
      <c r="CI153" s="10"/>
      <c r="CJ153" s="10"/>
      <c r="CK153" s="10"/>
      <c r="CL153" s="10"/>
      <c r="CM153" s="10"/>
      <c r="CN153" s="10"/>
      <c r="CO153" s="10"/>
      <c r="CP153" s="10"/>
      <c r="CQ153" s="10"/>
      <c r="CR153" s="10"/>
      <c r="CS153" s="10"/>
      <c r="CT153" s="10"/>
      <c r="CU153" s="10"/>
      <c r="CV153" s="10"/>
      <c r="CW153" s="10"/>
      <c r="CX153" s="10"/>
      <c r="CY153" s="10"/>
      <c r="CZ153" s="10"/>
      <c r="DA153" s="10"/>
      <c r="DB153" s="10"/>
      <c r="DC153" s="10"/>
      <c r="DD153" s="10"/>
      <c r="DE153" s="10"/>
      <c r="DF153" s="10"/>
      <c r="DG153" s="10"/>
      <c r="DH153" s="10"/>
    </row>
    <row r="154" spans="1:112" ht="15.75" customHeight="1" x14ac:dyDescent="0.3">
      <c r="A154" s="13" t="s">
        <v>293</v>
      </c>
      <c r="B154" s="14">
        <v>45622</v>
      </c>
      <c r="C154" s="13" t="s">
        <v>294</v>
      </c>
      <c r="D154" s="13" t="s">
        <v>295</v>
      </c>
      <c r="E154" s="13" t="s">
        <v>18</v>
      </c>
      <c r="F154" s="13" t="s">
        <v>19</v>
      </c>
      <c r="G154" s="13" t="s">
        <v>20</v>
      </c>
      <c r="H154" s="13">
        <v>5</v>
      </c>
      <c r="I154" s="13">
        <v>249.99</v>
      </c>
      <c r="J154" s="13" t="s">
        <v>27</v>
      </c>
      <c r="K154" s="13" t="s">
        <v>41</v>
      </c>
      <c r="L154" s="13" t="s">
        <v>23</v>
      </c>
      <c r="M154" s="14">
        <v>44873</v>
      </c>
      <c r="N154" s="13">
        <v>1249.95</v>
      </c>
      <c r="O154" s="10"/>
      <c r="P154" s="13"/>
      <c r="Q154" s="10"/>
      <c r="R154" s="17">
        <f t="shared" ca="1" si="8"/>
        <v>1299</v>
      </c>
      <c r="S154" s="43">
        <f t="shared" si="6"/>
        <v>45626</v>
      </c>
      <c r="T154" s="44" t="str">
        <f t="shared" si="7"/>
        <v>Nor</v>
      </c>
      <c r="U154" s="13"/>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0"/>
      <c r="BC154" s="10"/>
      <c r="BD154" s="10"/>
      <c r="BE154" s="10"/>
      <c r="BF154" s="10"/>
      <c r="BG154" s="10"/>
      <c r="BH154" s="10"/>
      <c r="BI154" s="10"/>
      <c r="BJ154" s="10"/>
      <c r="BK154" s="10"/>
      <c r="BL154" s="10"/>
      <c r="BM154" s="10"/>
      <c r="BN154" s="10"/>
      <c r="BO154" s="10"/>
      <c r="BP154" s="10"/>
      <c r="BQ154" s="10"/>
      <c r="BR154" s="10"/>
      <c r="BS154" s="10"/>
      <c r="BT154" s="10"/>
      <c r="BU154" s="10"/>
      <c r="BV154" s="10"/>
      <c r="BW154" s="10"/>
      <c r="BX154" s="10"/>
      <c r="BY154" s="10"/>
      <c r="BZ154" s="10"/>
      <c r="CA154" s="10"/>
      <c r="CB154" s="10"/>
      <c r="CC154" s="10"/>
      <c r="CD154" s="10"/>
      <c r="CE154" s="10"/>
      <c r="CF154" s="10"/>
      <c r="CG154" s="10"/>
      <c r="CH154" s="10"/>
      <c r="CI154" s="10"/>
      <c r="CJ154" s="10"/>
      <c r="CK154" s="10"/>
      <c r="CL154" s="10"/>
      <c r="CM154" s="10"/>
      <c r="CN154" s="10"/>
      <c r="CO154" s="10"/>
      <c r="CP154" s="10"/>
      <c r="CQ154" s="10"/>
      <c r="CR154" s="10"/>
      <c r="CS154" s="10"/>
      <c r="CT154" s="10"/>
      <c r="CU154" s="10"/>
      <c r="CV154" s="10"/>
      <c r="CW154" s="10"/>
      <c r="CX154" s="10"/>
      <c r="CY154" s="10"/>
      <c r="CZ154" s="10"/>
      <c r="DA154" s="10"/>
      <c r="DB154" s="10"/>
      <c r="DC154" s="10"/>
      <c r="DD154" s="10"/>
      <c r="DE154" s="10"/>
      <c r="DF154" s="10"/>
      <c r="DG154" s="10"/>
      <c r="DH154" s="10"/>
    </row>
    <row r="155" spans="1:112" ht="15.75" customHeight="1" x14ac:dyDescent="0.3">
      <c r="A155" s="13" t="s">
        <v>296</v>
      </c>
      <c r="B155" s="14">
        <v>45623</v>
      </c>
      <c r="C155" s="13" t="s">
        <v>113</v>
      </c>
      <c r="D155" s="13" t="s">
        <v>114</v>
      </c>
      <c r="E155" s="13" t="s">
        <v>45</v>
      </c>
      <c r="F155" s="13" t="s">
        <v>46</v>
      </c>
      <c r="G155" s="13" t="s">
        <v>47</v>
      </c>
      <c r="H155" s="13">
        <v>2</v>
      </c>
      <c r="I155" s="13">
        <v>149.99</v>
      </c>
      <c r="J155" s="13" t="s">
        <v>21</v>
      </c>
      <c r="K155" s="13" t="s">
        <v>36</v>
      </c>
      <c r="L155" s="13" t="s">
        <v>37</v>
      </c>
      <c r="M155" s="14">
        <v>45101</v>
      </c>
      <c r="N155" s="13">
        <v>299.98</v>
      </c>
      <c r="O155" s="10"/>
      <c r="P155" s="13"/>
      <c r="Q155" s="10"/>
      <c r="R155" s="17">
        <f t="shared" ca="1" si="8"/>
        <v>1071</v>
      </c>
      <c r="S155" s="43">
        <f t="shared" si="6"/>
        <v>45626</v>
      </c>
      <c r="T155" s="44" t="str">
        <f t="shared" si="7"/>
        <v>Sou</v>
      </c>
      <c r="U155" s="13"/>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0"/>
      <c r="BC155" s="10"/>
      <c r="BD155" s="10"/>
      <c r="BE155" s="10"/>
      <c r="BF155" s="10"/>
      <c r="BG155" s="10"/>
      <c r="BH155" s="10"/>
      <c r="BI155" s="10"/>
      <c r="BJ155" s="10"/>
      <c r="BK155" s="10"/>
      <c r="BL155" s="10"/>
      <c r="BM155" s="10"/>
      <c r="BN155" s="10"/>
      <c r="BO155" s="10"/>
      <c r="BP155" s="10"/>
      <c r="BQ155" s="10"/>
      <c r="BR155" s="10"/>
      <c r="BS155" s="10"/>
      <c r="BT155" s="10"/>
      <c r="BU155" s="10"/>
      <c r="BV155" s="10"/>
      <c r="BW155" s="10"/>
      <c r="BX155" s="10"/>
      <c r="BY155" s="10"/>
      <c r="BZ155" s="10"/>
      <c r="CA155" s="10"/>
      <c r="CB155" s="10"/>
      <c r="CC155" s="10"/>
      <c r="CD155" s="10"/>
      <c r="CE155" s="10"/>
      <c r="CF155" s="10"/>
      <c r="CG155" s="10"/>
      <c r="CH155" s="10"/>
      <c r="CI155" s="10"/>
      <c r="CJ155" s="10"/>
      <c r="CK155" s="10"/>
      <c r="CL155" s="10"/>
      <c r="CM155" s="10"/>
      <c r="CN155" s="10"/>
      <c r="CO155" s="10"/>
      <c r="CP155" s="10"/>
      <c r="CQ155" s="10"/>
      <c r="CR155" s="10"/>
      <c r="CS155" s="10"/>
      <c r="CT155" s="10"/>
      <c r="CU155" s="10"/>
      <c r="CV155" s="10"/>
      <c r="CW155" s="10"/>
      <c r="CX155" s="10"/>
      <c r="CY155" s="10"/>
      <c r="CZ155" s="10"/>
      <c r="DA155" s="10"/>
      <c r="DB155" s="10"/>
      <c r="DC155" s="10"/>
      <c r="DD155" s="10"/>
      <c r="DE155" s="10"/>
      <c r="DF155" s="10"/>
      <c r="DG155" s="10"/>
      <c r="DH155" s="10"/>
    </row>
    <row r="156" spans="1:112" ht="15.75" customHeight="1" x14ac:dyDescent="0.3">
      <c r="A156" s="13" t="s">
        <v>297</v>
      </c>
      <c r="B156" s="14">
        <v>45627</v>
      </c>
      <c r="C156" s="13" t="s">
        <v>30</v>
      </c>
      <c r="D156" s="13" t="s">
        <v>31</v>
      </c>
      <c r="E156" s="13" t="s">
        <v>106</v>
      </c>
      <c r="F156" s="13" t="s">
        <v>107</v>
      </c>
      <c r="G156" s="13" t="s">
        <v>47</v>
      </c>
      <c r="H156" s="13">
        <v>3</v>
      </c>
      <c r="I156" s="13">
        <v>299.99</v>
      </c>
      <c r="J156" s="13" t="s">
        <v>21</v>
      </c>
      <c r="K156" s="13" t="s">
        <v>36</v>
      </c>
      <c r="L156" s="13" t="s">
        <v>28</v>
      </c>
      <c r="M156" s="14">
        <v>44659</v>
      </c>
      <c r="N156" s="13">
        <v>899.97</v>
      </c>
      <c r="O156" s="10"/>
      <c r="P156" s="13"/>
      <c r="Q156" s="10"/>
      <c r="R156" s="17">
        <f t="shared" ca="1" si="8"/>
        <v>1513</v>
      </c>
      <c r="S156" s="43">
        <f t="shared" si="6"/>
        <v>45657</v>
      </c>
      <c r="T156" s="44" t="str">
        <f t="shared" si="7"/>
        <v>Sou</v>
      </c>
      <c r="U156" s="13"/>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0"/>
      <c r="BC156" s="10"/>
      <c r="BD156" s="10"/>
      <c r="BE156" s="10"/>
      <c r="BF156" s="10"/>
      <c r="BG156" s="10"/>
      <c r="BH156" s="10"/>
      <c r="BI156" s="10"/>
      <c r="BJ156" s="10"/>
      <c r="BK156" s="10"/>
      <c r="BL156" s="10"/>
      <c r="BM156" s="10"/>
      <c r="BN156" s="10"/>
      <c r="BO156" s="10"/>
      <c r="BP156" s="10"/>
      <c r="BQ156" s="10"/>
      <c r="BR156" s="10"/>
      <c r="BS156" s="10"/>
      <c r="BT156" s="10"/>
      <c r="BU156" s="10"/>
      <c r="BV156" s="10"/>
      <c r="BW156" s="10"/>
      <c r="BX156" s="10"/>
      <c r="BY156" s="10"/>
      <c r="BZ156" s="10"/>
      <c r="CA156" s="10"/>
      <c r="CB156" s="10"/>
      <c r="CC156" s="10"/>
      <c r="CD156" s="10"/>
      <c r="CE156" s="10"/>
      <c r="CF156" s="10"/>
      <c r="CG156" s="10"/>
      <c r="CH156" s="10"/>
      <c r="CI156" s="10"/>
      <c r="CJ156" s="10"/>
      <c r="CK156" s="10"/>
      <c r="CL156" s="10"/>
      <c r="CM156" s="10"/>
      <c r="CN156" s="10"/>
      <c r="CO156" s="10"/>
      <c r="CP156" s="10"/>
      <c r="CQ156" s="10"/>
      <c r="CR156" s="10"/>
      <c r="CS156" s="10"/>
      <c r="CT156" s="10"/>
      <c r="CU156" s="10"/>
      <c r="CV156" s="10"/>
      <c r="CW156" s="10"/>
      <c r="CX156" s="10"/>
      <c r="CY156" s="10"/>
      <c r="CZ156" s="10"/>
      <c r="DA156" s="10"/>
      <c r="DB156" s="10"/>
      <c r="DC156" s="10"/>
      <c r="DD156" s="10"/>
      <c r="DE156" s="10"/>
      <c r="DF156" s="10"/>
      <c r="DG156" s="10"/>
      <c r="DH156" s="10"/>
    </row>
    <row r="157" spans="1:112" ht="15.75" customHeight="1" x14ac:dyDescent="0.3">
      <c r="A157" s="13" t="s">
        <v>298</v>
      </c>
      <c r="B157" s="14">
        <v>45627</v>
      </c>
      <c r="C157" s="13" t="s">
        <v>56</v>
      </c>
      <c r="D157" s="13" t="s">
        <v>57</v>
      </c>
      <c r="E157" s="13" t="s">
        <v>18</v>
      </c>
      <c r="F157" s="13" t="s">
        <v>19</v>
      </c>
      <c r="G157" s="13" t="s">
        <v>20</v>
      </c>
      <c r="H157" s="13">
        <v>5</v>
      </c>
      <c r="I157" s="13">
        <v>249.99</v>
      </c>
      <c r="J157" s="13" t="s">
        <v>21</v>
      </c>
      <c r="K157" s="13" t="s">
        <v>22</v>
      </c>
      <c r="L157" s="13" t="s">
        <v>28</v>
      </c>
      <c r="M157" s="14">
        <v>44485</v>
      </c>
      <c r="N157" s="13">
        <v>1249.95</v>
      </c>
      <c r="O157" s="10"/>
      <c r="P157" s="13"/>
      <c r="Q157" s="10"/>
      <c r="R157" s="17">
        <f t="shared" ca="1" si="8"/>
        <v>1687</v>
      </c>
      <c r="S157" s="43">
        <f t="shared" si="6"/>
        <v>45657</v>
      </c>
      <c r="T157" s="44" t="str">
        <f t="shared" si="7"/>
        <v>Cen</v>
      </c>
      <c r="U157" s="13"/>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0"/>
      <c r="BC157" s="10"/>
      <c r="BD157" s="10"/>
      <c r="BE157" s="10"/>
      <c r="BF157" s="10"/>
      <c r="BG157" s="10"/>
      <c r="BH157" s="10"/>
      <c r="BI157" s="10"/>
      <c r="BJ157" s="10"/>
      <c r="BK157" s="10"/>
      <c r="BL157" s="10"/>
      <c r="BM157" s="10"/>
      <c r="BN157" s="10"/>
      <c r="BO157" s="10"/>
      <c r="BP157" s="10"/>
      <c r="BQ157" s="10"/>
      <c r="BR157" s="10"/>
      <c r="BS157" s="10"/>
      <c r="BT157" s="10"/>
      <c r="BU157" s="10"/>
      <c r="BV157" s="10"/>
      <c r="BW157" s="10"/>
      <c r="BX157" s="10"/>
      <c r="BY157" s="10"/>
      <c r="BZ157" s="10"/>
      <c r="CA157" s="10"/>
      <c r="CB157" s="10"/>
      <c r="CC157" s="10"/>
      <c r="CD157" s="10"/>
      <c r="CE157" s="10"/>
      <c r="CF157" s="10"/>
      <c r="CG157" s="10"/>
      <c r="CH157" s="10"/>
      <c r="CI157" s="10"/>
      <c r="CJ157" s="10"/>
      <c r="CK157" s="10"/>
      <c r="CL157" s="10"/>
      <c r="CM157" s="10"/>
      <c r="CN157" s="10"/>
      <c r="CO157" s="10"/>
      <c r="CP157" s="10"/>
      <c r="CQ157" s="10"/>
      <c r="CR157" s="10"/>
      <c r="CS157" s="10"/>
      <c r="CT157" s="10"/>
      <c r="CU157" s="10"/>
      <c r="CV157" s="10"/>
      <c r="CW157" s="10"/>
      <c r="CX157" s="10"/>
      <c r="CY157" s="10"/>
      <c r="CZ157" s="10"/>
      <c r="DA157" s="10"/>
      <c r="DB157" s="10"/>
      <c r="DC157" s="10"/>
      <c r="DD157" s="10"/>
      <c r="DE157" s="10"/>
      <c r="DF157" s="10"/>
      <c r="DG157" s="10"/>
      <c r="DH157" s="10"/>
    </row>
    <row r="158" spans="1:112" ht="15.75" customHeight="1" x14ac:dyDescent="0.3">
      <c r="A158" s="13" t="s">
        <v>299</v>
      </c>
      <c r="B158" s="14">
        <v>45627</v>
      </c>
      <c r="C158" s="13" t="s">
        <v>25</v>
      </c>
      <c r="D158" s="13" t="s">
        <v>26</v>
      </c>
      <c r="E158" s="13" t="s">
        <v>53</v>
      </c>
      <c r="F158" s="13" t="s">
        <v>54</v>
      </c>
      <c r="G158" s="13" t="s">
        <v>20</v>
      </c>
      <c r="H158" s="13">
        <v>2</v>
      </c>
      <c r="I158" s="13">
        <v>149.99</v>
      </c>
      <c r="J158" s="13" t="s">
        <v>21</v>
      </c>
      <c r="K158" s="13" t="s">
        <v>36</v>
      </c>
      <c r="L158" s="13" t="s">
        <v>28</v>
      </c>
      <c r="M158" s="14">
        <v>44475</v>
      </c>
      <c r="N158" s="13">
        <v>299.98</v>
      </c>
      <c r="O158" s="10"/>
      <c r="P158" s="13"/>
      <c r="Q158" s="10"/>
      <c r="R158" s="17">
        <f t="shared" ca="1" si="8"/>
        <v>1697</v>
      </c>
      <c r="S158" s="43">
        <f t="shared" si="6"/>
        <v>45657</v>
      </c>
      <c r="T158" s="44" t="str">
        <f t="shared" si="7"/>
        <v>Sou</v>
      </c>
      <c r="U158" s="13"/>
      <c r="V158" s="10"/>
      <c r="W158" s="10"/>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0"/>
      <c r="BC158" s="10"/>
      <c r="BD158" s="10"/>
      <c r="BE158" s="10"/>
      <c r="BF158" s="10"/>
      <c r="BG158" s="10"/>
      <c r="BH158" s="10"/>
      <c r="BI158" s="10"/>
      <c r="BJ158" s="10"/>
      <c r="BK158" s="10"/>
      <c r="BL158" s="10"/>
      <c r="BM158" s="10"/>
      <c r="BN158" s="10"/>
      <c r="BO158" s="10"/>
      <c r="BP158" s="10"/>
      <c r="BQ158" s="10"/>
      <c r="BR158" s="10"/>
      <c r="BS158" s="10"/>
      <c r="BT158" s="10"/>
      <c r="BU158" s="10"/>
      <c r="BV158" s="10"/>
      <c r="BW158" s="10"/>
      <c r="BX158" s="10"/>
      <c r="BY158" s="10"/>
      <c r="BZ158" s="10"/>
      <c r="CA158" s="10"/>
      <c r="CB158" s="10"/>
      <c r="CC158" s="10"/>
      <c r="CD158" s="10"/>
      <c r="CE158" s="10"/>
      <c r="CF158" s="10"/>
      <c r="CG158" s="10"/>
      <c r="CH158" s="10"/>
      <c r="CI158" s="10"/>
      <c r="CJ158" s="10"/>
      <c r="CK158" s="10"/>
      <c r="CL158" s="10"/>
      <c r="CM158" s="10"/>
      <c r="CN158" s="10"/>
      <c r="CO158" s="10"/>
      <c r="CP158" s="10"/>
      <c r="CQ158" s="10"/>
      <c r="CR158" s="10"/>
      <c r="CS158" s="10"/>
      <c r="CT158" s="10"/>
      <c r="CU158" s="10"/>
      <c r="CV158" s="10"/>
      <c r="CW158" s="10"/>
      <c r="CX158" s="10"/>
      <c r="CY158" s="10"/>
      <c r="CZ158" s="10"/>
      <c r="DA158" s="10"/>
      <c r="DB158" s="10"/>
      <c r="DC158" s="10"/>
      <c r="DD158" s="10"/>
      <c r="DE158" s="10"/>
      <c r="DF158" s="10"/>
      <c r="DG158" s="10"/>
      <c r="DH158" s="10"/>
    </row>
    <row r="159" spans="1:112" ht="15.75" customHeight="1" x14ac:dyDescent="0.3">
      <c r="A159" s="13" t="s">
        <v>300</v>
      </c>
      <c r="B159" s="14">
        <v>45627</v>
      </c>
      <c r="C159" s="13" t="s">
        <v>87</v>
      </c>
      <c r="D159" s="13" t="s">
        <v>88</v>
      </c>
      <c r="E159" s="13" t="s">
        <v>81</v>
      </c>
      <c r="F159" s="13" t="s">
        <v>82</v>
      </c>
      <c r="G159" s="13" t="s">
        <v>20</v>
      </c>
      <c r="H159" s="13">
        <v>5</v>
      </c>
      <c r="I159" s="13">
        <v>699.99</v>
      </c>
      <c r="J159" s="13" t="s">
        <v>58</v>
      </c>
      <c r="K159" s="13" t="s">
        <v>51</v>
      </c>
      <c r="L159" s="13" t="s">
        <v>37</v>
      </c>
      <c r="M159" s="14">
        <v>44944</v>
      </c>
      <c r="N159" s="13">
        <v>3499.95</v>
      </c>
      <c r="O159" s="10"/>
      <c r="P159" s="13"/>
      <c r="Q159" s="10"/>
      <c r="R159" s="17">
        <f t="shared" ca="1" si="8"/>
        <v>1228</v>
      </c>
      <c r="S159" s="43">
        <f t="shared" si="6"/>
        <v>45657</v>
      </c>
      <c r="T159" s="44" t="str">
        <f t="shared" si="7"/>
        <v>Wes</v>
      </c>
      <c r="U159" s="13"/>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0"/>
      <c r="BC159" s="10"/>
      <c r="BD159" s="10"/>
      <c r="BE159" s="10"/>
      <c r="BF159" s="10"/>
      <c r="BG159" s="10"/>
      <c r="BH159" s="10"/>
      <c r="BI159" s="10"/>
      <c r="BJ159" s="10"/>
      <c r="BK159" s="10"/>
      <c r="BL159" s="10"/>
      <c r="BM159" s="10"/>
      <c r="BN159" s="10"/>
      <c r="BO159" s="10"/>
      <c r="BP159" s="10"/>
      <c r="BQ159" s="10"/>
      <c r="BR159" s="10"/>
      <c r="BS159" s="10"/>
      <c r="BT159" s="10"/>
      <c r="BU159" s="10"/>
      <c r="BV159" s="10"/>
      <c r="BW159" s="10"/>
      <c r="BX159" s="10"/>
      <c r="BY159" s="10"/>
      <c r="BZ159" s="10"/>
      <c r="CA159" s="10"/>
      <c r="CB159" s="10"/>
      <c r="CC159" s="10"/>
      <c r="CD159" s="10"/>
      <c r="CE159" s="10"/>
      <c r="CF159" s="10"/>
      <c r="CG159" s="10"/>
      <c r="CH159" s="10"/>
      <c r="CI159" s="10"/>
      <c r="CJ159" s="10"/>
      <c r="CK159" s="10"/>
      <c r="CL159" s="10"/>
      <c r="CM159" s="10"/>
      <c r="CN159" s="10"/>
      <c r="CO159" s="10"/>
      <c r="CP159" s="10"/>
      <c r="CQ159" s="10"/>
      <c r="CR159" s="10"/>
      <c r="CS159" s="10"/>
      <c r="CT159" s="10"/>
      <c r="CU159" s="10"/>
      <c r="CV159" s="10"/>
      <c r="CW159" s="10"/>
      <c r="CX159" s="10"/>
      <c r="CY159" s="10"/>
      <c r="CZ159" s="10"/>
      <c r="DA159" s="10"/>
      <c r="DB159" s="10"/>
      <c r="DC159" s="10"/>
      <c r="DD159" s="10"/>
      <c r="DE159" s="10"/>
      <c r="DF159" s="10"/>
      <c r="DG159" s="10"/>
      <c r="DH159" s="10"/>
    </row>
    <row r="160" spans="1:112" ht="15.75" customHeight="1" x14ac:dyDescent="0.3">
      <c r="A160" s="13" t="s">
        <v>301</v>
      </c>
      <c r="B160" s="14">
        <v>45629</v>
      </c>
      <c r="C160" s="13" t="s">
        <v>253</v>
      </c>
      <c r="D160" s="13" t="s">
        <v>254</v>
      </c>
      <c r="E160" s="13" t="s">
        <v>18</v>
      </c>
      <c r="F160" s="13" t="s">
        <v>19</v>
      </c>
      <c r="G160" s="13" t="s">
        <v>20</v>
      </c>
      <c r="H160" s="13">
        <v>4</v>
      </c>
      <c r="I160" s="13">
        <v>249.99</v>
      </c>
      <c r="J160" s="13" t="s">
        <v>35</v>
      </c>
      <c r="K160" s="13" t="s">
        <v>64</v>
      </c>
      <c r="L160" s="13" t="s">
        <v>28</v>
      </c>
      <c r="M160" s="14">
        <v>45098</v>
      </c>
      <c r="N160" s="13">
        <v>999.96</v>
      </c>
      <c r="O160" s="10"/>
      <c r="P160" s="13"/>
      <c r="Q160" s="10"/>
      <c r="R160" s="17">
        <f t="shared" ca="1" si="8"/>
        <v>1074</v>
      </c>
      <c r="S160" s="43">
        <f t="shared" si="6"/>
        <v>45657</v>
      </c>
      <c r="T160" s="44" t="str">
        <f t="shared" si="7"/>
        <v>Eas</v>
      </c>
      <c r="U160" s="13"/>
      <c r="V160" s="10"/>
      <c r="W160" s="10"/>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0"/>
      <c r="BC160" s="10"/>
      <c r="BD160" s="10"/>
      <c r="BE160" s="10"/>
      <c r="BF160" s="10"/>
      <c r="BG160" s="10"/>
      <c r="BH160" s="10"/>
      <c r="BI160" s="10"/>
      <c r="BJ160" s="10"/>
      <c r="BK160" s="10"/>
      <c r="BL160" s="10"/>
      <c r="BM160" s="10"/>
      <c r="BN160" s="10"/>
      <c r="BO160" s="10"/>
      <c r="BP160" s="10"/>
      <c r="BQ160" s="10"/>
      <c r="BR160" s="10"/>
      <c r="BS160" s="10"/>
      <c r="BT160" s="10"/>
      <c r="BU160" s="10"/>
      <c r="BV160" s="10"/>
      <c r="BW160" s="10"/>
      <c r="BX160" s="10"/>
      <c r="BY160" s="10"/>
      <c r="BZ160" s="10"/>
      <c r="CA160" s="10"/>
      <c r="CB160" s="10"/>
      <c r="CC160" s="10"/>
      <c r="CD160" s="10"/>
      <c r="CE160" s="10"/>
      <c r="CF160" s="10"/>
      <c r="CG160" s="10"/>
      <c r="CH160" s="10"/>
      <c r="CI160" s="10"/>
      <c r="CJ160" s="10"/>
      <c r="CK160" s="10"/>
      <c r="CL160" s="10"/>
      <c r="CM160" s="10"/>
      <c r="CN160" s="10"/>
      <c r="CO160" s="10"/>
      <c r="CP160" s="10"/>
      <c r="CQ160" s="10"/>
      <c r="CR160" s="10"/>
      <c r="CS160" s="10"/>
      <c r="CT160" s="10"/>
      <c r="CU160" s="10"/>
      <c r="CV160" s="10"/>
      <c r="CW160" s="10"/>
      <c r="CX160" s="10"/>
      <c r="CY160" s="10"/>
      <c r="CZ160" s="10"/>
      <c r="DA160" s="10"/>
      <c r="DB160" s="10"/>
      <c r="DC160" s="10"/>
      <c r="DD160" s="10"/>
      <c r="DE160" s="10"/>
      <c r="DF160" s="10"/>
      <c r="DG160" s="10"/>
      <c r="DH160" s="10"/>
    </row>
    <row r="161" spans="1:112" ht="15.75" customHeight="1" x14ac:dyDescent="0.3">
      <c r="A161" s="13" t="s">
        <v>302</v>
      </c>
      <c r="B161" s="14">
        <v>45630</v>
      </c>
      <c r="C161" s="13" t="s">
        <v>49</v>
      </c>
      <c r="D161" s="13" t="s">
        <v>50</v>
      </c>
      <c r="E161" s="13" t="s">
        <v>81</v>
      </c>
      <c r="F161" s="13" t="s">
        <v>82</v>
      </c>
      <c r="G161" s="13" t="s">
        <v>20</v>
      </c>
      <c r="H161" s="13">
        <v>4</v>
      </c>
      <c r="I161" s="13">
        <v>699.99</v>
      </c>
      <c r="J161" s="13" t="s">
        <v>27</v>
      </c>
      <c r="K161" s="13" t="s">
        <v>41</v>
      </c>
      <c r="L161" s="13" t="s">
        <v>28</v>
      </c>
      <c r="M161" s="14">
        <v>44703</v>
      </c>
      <c r="N161" s="13">
        <v>2799.96</v>
      </c>
      <c r="O161" s="10"/>
      <c r="P161" s="13"/>
      <c r="Q161" s="10"/>
      <c r="R161" s="17">
        <f t="shared" ca="1" si="8"/>
        <v>1469</v>
      </c>
      <c r="S161" s="43">
        <f t="shared" si="6"/>
        <v>45657</v>
      </c>
      <c r="T161" s="44" t="str">
        <f t="shared" si="7"/>
        <v>Nor</v>
      </c>
      <c r="U161" s="13"/>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0"/>
      <c r="BC161" s="10"/>
      <c r="BD161" s="10"/>
      <c r="BE161" s="10"/>
      <c r="BF161" s="10"/>
      <c r="BG161" s="10"/>
      <c r="BH161" s="10"/>
      <c r="BI161" s="10"/>
      <c r="BJ161" s="10"/>
      <c r="BK161" s="10"/>
      <c r="BL161" s="10"/>
      <c r="BM161" s="10"/>
      <c r="BN161" s="10"/>
      <c r="BO161" s="10"/>
      <c r="BP161" s="10"/>
      <c r="BQ161" s="10"/>
      <c r="BR161" s="10"/>
      <c r="BS161" s="10"/>
      <c r="BT161" s="10"/>
      <c r="BU161" s="10"/>
      <c r="BV161" s="10"/>
      <c r="BW161" s="10"/>
      <c r="BX161" s="10"/>
      <c r="BY161" s="10"/>
      <c r="BZ161" s="10"/>
      <c r="CA161" s="10"/>
      <c r="CB161" s="10"/>
      <c r="CC161" s="10"/>
      <c r="CD161" s="10"/>
      <c r="CE161" s="10"/>
      <c r="CF161" s="10"/>
      <c r="CG161" s="10"/>
      <c r="CH161" s="10"/>
      <c r="CI161" s="10"/>
      <c r="CJ161" s="10"/>
      <c r="CK161" s="10"/>
      <c r="CL161" s="10"/>
      <c r="CM161" s="10"/>
      <c r="CN161" s="10"/>
      <c r="CO161" s="10"/>
      <c r="CP161" s="10"/>
      <c r="CQ161" s="10"/>
      <c r="CR161" s="10"/>
      <c r="CS161" s="10"/>
      <c r="CT161" s="10"/>
      <c r="CU161" s="10"/>
      <c r="CV161" s="10"/>
      <c r="CW161" s="10"/>
      <c r="CX161" s="10"/>
      <c r="CY161" s="10"/>
      <c r="CZ161" s="10"/>
      <c r="DA161" s="10"/>
      <c r="DB161" s="10"/>
      <c r="DC161" s="10"/>
      <c r="DD161" s="10"/>
      <c r="DE161" s="10"/>
      <c r="DF161" s="10"/>
      <c r="DG161" s="10"/>
      <c r="DH161" s="10"/>
    </row>
    <row r="162" spans="1:112" ht="15.75" customHeight="1" x14ac:dyDescent="0.3">
      <c r="A162" s="13" t="s">
        <v>303</v>
      </c>
      <c r="B162" s="14">
        <v>45635</v>
      </c>
      <c r="C162" s="13" t="s">
        <v>109</v>
      </c>
      <c r="D162" s="13" t="s">
        <v>110</v>
      </c>
      <c r="E162" s="13" t="s">
        <v>18</v>
      </c>
      <c r="F162" s="13" t="s">
        <v>19</v>
      </c>
      <c r="G162" s="13" t="s">
        <v>20</v>
      </c>
      <c r="H162" s="13">
        <v>2</v>
      </c>
      <c r="I162" s="13">
        <v>249.99</v>
      </c>
      <c r="J162" s="13" t="s">
        <v>27</v>
      </c>
      <c r="K162" s="13" t="s">
        <v>22</v>
      </c>
      <c r="L162" s="13" t="s">
        <v>28</v>
      </c>
      <c r="M162" s="14">
        <v>44396</v>
      </c>
      <c r="N162" s="13">
        <v>499.98</v>
      </c>
      <c r="O162" s="10"/>
      <c r="P162" s="13"/>
      <c r="Q162" s="10"/>
      <c r="R162" s="17">
        <f t="shared" ca="1" si="8"/>
        <v>1776</v>
      </c>
      <c r="S162" s="43">
        <f t="shared" si="6"/>
        <v>45657</v>
      </c>
      <c r="T162" s="44" t="str">
        <f t="shared" si="7"/>
        <v>Cen</v>
      </c>
      <c r="U162" s="13"/>
      <c r="V162" s="10"/>
      <c r="W162" s="10"/>
      <c r="X162" s="10"/>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0"/>
      <c r="BC162" s="10"/>
      <c r="BD162" s="10"/>
      <c r="BE162" s="10"/>
      <c r="BF162" s="10"/>
      <c r="BG162" s="10"/>
      <c r="BH162" s="10"/>
      <c r="BI162" s="10"/>
      <c r="BJ162" s="10"/>
      <c r="BK162" s="10"/>
      <c r="BL162" s="10"/>
      <c r="BM162" s="10"/>
      <c r="BN162" s="10"/>
      <c r="BO162" s="10"/>
      <c r="BP162" s="10"/>
      <c r="BQ162" s="10"/>
      <c r="BR162" s="10"/>
      <c r="BS162" s="10"/>
      <c r="BT162" s="10"/>
      <c r="BU162" s="10"/>
      <c r="BV162" s="10"/>
      <c r="BW162" s="10"/>
      <c r="BX162" s="10"/>
      <c r="BY162" s="10"/>
      <c r="BZ162" s="10"/>
      <c r="CA162" s="10"/>
      <c r="CB162" s="10"/>
      <c r="CC162" s="10"/>
      <c r="CD162" s="10"/>
      <c r="CE162" s="10"/>
      <c r="CF162" s="10"/>
      <c r="CG162" s="10"/>
      <c r="CH162" s="10"/>
      <c r="CI162" s="10"/>
      <c r="CJ162" s="10"/>
      <c r="CK162" s="10"/>
      <c r="CL162" s="10"/>
      <c r="CM162" s="10"/>
      <c r="CN162" s="10"/>
      <c r="CO162" s="10"/>
      <c r="CP162" s="10"/>
      <c r="CQ162" s="10"/>
      <c r="CR162" s="10"/>
      <c r="CS162" s="10"/>
      <c r="CT162" s="10"/>
      <c r="CU162" s="10"/>
      <c r="CV162" s="10"/>
      <c r="CW162" s="10"/>
      <c r="CX162" s="10"/>
      <c r="CY162" s="10"/>
      <c r="CZ162" s="10"/>
      <c r="DA162" s="10"/>
      <c r="DB162" s="10"/>
      <c r="DC162" s="10"/>
      <c r="DD162" s="10"/>
      <c r="DE162" s="10"/>
      <c r="DF162" s="10"/>
      <c r="DG162" s="10"/>
      <c r="DH162" s="10"/>
    </row>
    <row r="163" spans="1:112" ht="15.75" customHeight="1" x14ac:dyDescent="0.3">
      <c r="A163" s="13" t="s">
        <v>304</v>
      </c>
      <c r="B163" s="14">
        <v>45635</v>
      </c>
      <c r="C163" s="13" t="s">
        <v>305</v>
      </c>
      <c r="D163" s="13" t="s">
        <v>306</v>
      </c>
      <c r="E163" s="13" t="s">
        <v>32</v>
      </c>
      <c r="F163" s="13" t="s">
        <v>33</v>
      </c>
      <c r="G163" s="13" t="s">
        <v>34</v>
      </c>
      <c r="H163" s="13">
        <v>3</v>
      </c>
      <c r="I163" s="13">
        <v>59.99</v>
      </c>
      <c r="J163" s="13" t="s">
        <v>21</v>
      </c>
      <c r="K163" s="13" t="s">
        <v>22</v>
      </c>
      <c r="L163" s="13" t="s">
        <v>28</v>
      </c>
      <c r="M163" s="14">
        <v>45052</v>
      </c>
      <c r="N163" s="13">
        <v>179.97</v>
      </c>
      <c r="O163" s="10"/>
      <c r="P163" s="13"/>
      <c r="Q163" s="10"/>
      <c r="R163" s="17">
        <f t="shared" ca="1" si="8"/>
        <v>1120</v>
      </c>
      <c r="S163" s="43">
        <f t="shared" si="6"/>
        <v>45657</v>
      </c>
      <c r="T163" s="44" t="str">
        <f t="shared" si="7"/>
        <v>Cen</v>
      </c>
      <c r="U163" s="13"/>
      <c r="V163" s="10"/>
      <c r="W163" s="10"/>
      <c r="X163" s="10"/>
      <c r="Y163" s="10"/>
      <c r="Z163" s="10"/>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0"/>
      <c r="BC163" s="10"/>
      <c r="BD163" s="10"/>
      <c r="BE163" s="10"/>
      <c r="BF163" s="10"/>
      <c r="BG163" s="10"/>
      <c r="BH163" s="10"/>
      <c r="BI163" s="10"/>
      <c r="BJ163" s="10"/>
      <c r="BK163" s="10"/>
      <c r="BL163" s="10"/>
      <c r="BM163" s="10"/>
      <c r="BN163" s="10"/>
      <c r="BO163" s="10"/>
      <c r="BP163" s="10"/>
      <c r="BQ163" s="10"/>
      <c r="BR163" s="10"/>
      <c r="BS163" s="10"/>
      <c r="BT163" s="10"/>
      <c r="BU163" s="10"/>
      <c r="BV163" s="10"/>
      <c r="BW163" s="10"/>
      <c r="BX163" s="10"/>
      <c r="BY163" s="10"/>
      <c r="BZ163" s="10"/>
      <c r="CA163" s="10"/>
      <c r="CB163" s="10"/>
      <c r="CC163" s="10"/>
      <c r="CD163" s="10"/>
      <c r="CE163" s="10"/>
      <c r="CF163" s="10"/>
      <c r="CG163" s="10"/>
      <c r="CH163" s="10"/>
      <c r="CI163" s="10"/>
      <c r="CJ163" s="10"/>
      <c r="CK163" s="10"/>
      <c r="CL163" s="10"/>
      <c r="CM163" s="10"/>
      <c r="CN163" s="10"/>
      <c r="CO163" s="10"/>
      <c r="CP163" s="10"/>
      <c r="CQ163" s="10"/>
      <c r="CR163" s="10"/>
      <c r="CS163" s="10"/>
      <c r="CT163" s="10"/>
      <c r="CU163" s="10"/>
      <c r="CV163" s="10"/>
      <c r="CW163" s="10"/>
      <c r="CX163" s="10"/>
      <c r="CY163" s="10"/>
      <c r="CZ163" s="10"/>
      <c r="DA163" s="10"/>
      <c r="DB163" s="10"/>
      <c r="DC163" s="10"/>
      <c r="DD163" s="10"/>
      <c r="DE163" s="10"/>
      <c r="DF163" s="10"/>
      <c r="DG163" s="10"/>
      <c r="DH163" s="10"/>
    </row>
    <row r="164" spans="1:112" ht="15.75" customHeight="1" x14ac:dyDescent="0.3">
      <c r="A164" s="13" t="s">
        <v>307</v>
      </c>
      <c r="B164" s="14">
        <v>45635</v>
      </c>
      <c r="C164" s="13" t="s">
        <v>142</v>
      </c>
      <c r="D164" s="13" t="s">
        <v>143</v>
      </c>
      <c r="E164" s="13" t="s">
        <v>115</v>
      </c>
      <c r="F164" s="13" t="s">
        <v>116</v>
      </c>
      <c r="G164" s="13" t="s">
        <v>34</v>
      </c>
      <c r="H164" s="13">
        <v>4</v>
      </c>
      <c r="I164" s="13">
        <v>79.989999999999995</v>
      </c>
      <c r="J164" s="13" t="s">
        <v>58</v>
      </c>
      <c r="K164" s="13" t="s">
        <v>64</v>
      </c>
      <c r="L164" s="13" t="s">
        <v>37</v>
      </c>
      <c r="M164" s="14">
        <v>44921</v>
      </c>
      <c r="N164" s="13">
        <v>319.95999999999998</v>
      </c>
      <c r="O164" s="10"/>
      <c r="P164" s="13"/>
      <c r="Q164" s="10"/>
      <c r="R164" s="17">
        <f t="shared" ca="1" si="8"/>
        <v>1251</v>
      </c>
      <c r="S164" s="43">
        <f t="shared" si="6"/>
        <v>45657</v>
      </c>
      <c r="T164" s="44" t="str">
        <f t="shared" si="7"/>
        <v>Eas</v>
      </c>
      <c r="U164" s="13"/>
      <c r="V164" s="10"/>
      <c r="W164" s="10"/>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0"/>
      <c r="BC164" s="10"/>
      <c r="BD164" s="10"/>
      <c r="BE164" s="10"/>
      <c r="BF164" s="10"/>
      <c r="BG164" s="10"/>
      <c r="BH164" s="10"/>
      <c r="BI164" s="10"/>
      <c r="BJ164" s="10"/>
      <c r="BK164" s="10"/>
      <c r="BL164" s="10"/>
      <c r="BM164" s="10"/>
      <c r="BN164" s="10"/>
      <c r="BO164" s="10"/>
      <c r="BP164" s="10"/>
      <c r="BQ164" s="10"/>
      <c r="BR164" s="10"/>
      <c r="BS164" s="10"/>
      <c r="BT164" s="10"/>
      <c r="BU164" s="10"/>
      <c r="BV164" s="10"/>
      <c r="BW164" s="10"/>
      <c r="BX164" s="10"/>
      <c r="BY164" s="10"/>
      <c r="BZ164" s="10"/>
      <c r="CA164" s="10"/>
      <c r="CB164" s="10"/>
      <c r="CC164" s="10"/>
      <c r="CD164" s="10"/>
      <c r="CE164" s="10"/>
      <c r="CF164" s="10"/>
      <c r="CG164" s="10"/>
      <c r="CH164" s="10"/>
      <c r="CI164" s="10"/>
      <c r="CJ164" s="10"/>
      <c r="CK164" s="10"/>
      <c r="CL164" s="10"/>
      <c r="CM164" s="10"/>
      <c r="CN164" s="10"/>
      <c r="CO164" s="10"/>
      <c r="CP164" s="10"/>
      <c r="CQ164" s="10"/>
      <c r="CR164" s="10"/>
      <c r="CS164" s="10"/>
      <c r="CT164" s="10"/>
      <c r="CU164" s="10"/>
      <c r="CV164" s="10"/>
      <c r="CW164" s="10"/>
      <c r="CX164" s="10"/>
      <c r="CY164" s="10"/>
      <c r="CZ164" s="10"/>
      <c r="DA164" s="10"/>
      <c r="DB164" s="10"/>
      <c r="DC164" s="10"/>
      <c r="DD164" s="10"/>
      <c r="DE164" s="10"/>
      <c r="DF164" s="10"/>
      <c r="DG164" s="10"/>
      <c r="DH164" s="10"/>
    </row>
    <row r="165" spans="1:112" ht="15.75" customHeight="1" x14ac:dyDescent="0.3">
      <c r="A165" s="13" t="s">
        <v>308</v>
      </c>
      <c r="B165" s="14">
        <v>45636</v>
      </c>
      <c r="C165" s="13" t="s">
        <v>121</v>
      </c>
      <c r="D165" s="13" t="s">
        <v>122</v>
      </c>
      <c r="E165" s="13" t="s">
        <v>115</v>
      </c>
      <c r="F165" s="13" t="s">
        <v>116</v>
      </c>
      <c r="G165" s="13" t="s">
        <v>34</v>
      </c>
      <c r="H165" s="13">
        <v>3</v>
      </c>
      <c r="I165" s="13">
        <v>79.989999999999995</v>
      </c>
      <c r="J165" s="13" t="s">
        <v>58</v>
      </c>
      <c r="K165" s="13" t="s">
        <v>64</v>
      </c>
      <c r="L165" s="13" t="s">
        <v>37</v>
      </c>
      <c r="M165" s="14">
        <v>44779</v>
      </c>
      <c r="N165" s="13">
        <v>239.97</v>
      </c>
      <c r="O165" s="10"/>
      <c r="P165" s="13"/>
      <c r="Q165" s="10"/>
      <c r="R165" s="17">
        <f t="shared" ca="1" si="8"/>
        <v>1393</v>
      </c>
      <c r="S165" s="43">
        <f t="shared" si="6"/>
        <v>45657</v>
      </c>
      <c r="T165" s="44" t="str">
        <f t="shared" si="7"/>
        <v>Eas</v>
      </c>
      <c r="U165" s="13"/>
      <c r="V165" s="10"/>
      <c r="W165" s="10"/>
      <c r="X165" s="10"/>
      <c r="Y165" s="10"/>
      <c r="Z165" s="10"/>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0"/>
      <c r="BC165" s="10"/>
      <c r="BD165" s="10"/>
      <c r="BE165" s="10"/>
      <c r="BF165" s="10"/>
      <c r="BG165" s="10"/>
      <c r="BH165" s="10"/>
      <c r="BI165" s="10"/>
      <c r="BJ165" s="10"/>
      <c r="BK165" s="10"/>
      <c r="BL165" s="10"/>
      <c r="BM165" s="10"/>
      <c r="BN165" s="10"/>
      <c r="BO165" s="10"/>
      <c r="BP165" s="10"/>
      <c r="BQ165" s="10"/>
      <c r="BR165" s="10"/>
      <c r="BS165" s="10"/>
      <c r="BT165" s="10"/>
      <c r="BU165" s="10"/>
      <c r="BV165" s="10"/>
      <c r="BW165" s="10"/>
      <c r="BX165" s="10"/>
      <c r="BY165" s="10"/>
      <c r="BZ165" s="10"/>
      <c r="CA165" s="10"/>
      <c r="CB165" s="10"/>
      <c r="CC165" s="10"/>
      <c r="CD165" s="10"/>
      <c r="CE165" s="10"/>
      <c r="CF165" s="10"/>
      <c r="CG165" s="10"/>
      <c r="CH165" s="10"/>
      <c r="CI165" s="10"/>
      <c r="CJ165" s="10"/>
      <c r="CK165" s="10"/>
      <c r="CL165" s="10"/>
      <c r="CM165" s="10"/>
      <c r="CN165" s="10"/>
      <c r="CO165" s="10"/>
      <c r="CP165" s="10"/>
      <c r="CQ165" s="10"/>
      <c r="CR165" s="10"/>
      <c r="CS165" s="10"/>
      <c r="CT165" s="10"/>
      <c r="CU165" s="10"/>
      <c r="CV165" s="10"/>
      <c r="CW165" s="10"/>
      <c r="CX165" s="10"/>
      <c r="CY165" s="10"/>
      <c r="CZ165" s="10"/>
      <c r="DA165" s="10"/>
      <c r="DB165" s="10"/>
      <c r="DC165" s="10"/>
      <c r="DD165" s="10"/>
      <c r="DE165" s="10"/>
      <c r="DF165" s="10"/>
      <c r="DG165" s="10"/>
      <c r="DH165" s="10"/>
    </row>
    <row r="166" spans="1:112" ht="15.75" customHeight="1" x14ac:dyDescent="0.3">
      <c r="A166" s="13" t="s">
        <v>309</v>
      </c>
      <c r="B166" s="14">
        <v>45638</v>
      </c>
      <c r="C166" s="13" t="s">
        <v>73</v>
      </c>
      <c r="D166" s="13" t="s">
        <v>74</v>
      </c>
      <c r="E166" s="13" t="s">
        <v>62</v>
      </c>
      <c r="F166" s="13" t="s">
        <v>63</v>
      </c>
      <c r="G166" s="13" t="s">
        <v>20</v>
      </c>
      <c r="H166" s="13">
        <v>2</v>
      </c>
      <c r="I166" s="13">
        <v>899.99</v>
      </c>
      <c r="J166" s="13" t="s">
        <v>21</v>
      </c>
      <c r="K166" s="13" t="s">
        <v>41</v>
      </c>
      <c r="L166" s="13" t="s">
        <v>23</v>
      </c>
      <c r="M166" s="14">
        <v>44406</v>
      </c>
      <c r="N166" s="13">
        <v>1799.98</v>
      </c>
      <c r="O166" s="10"/>
      <c r="P166" s="13"/>
      <c r="Q166" s="10"/>
      <c r="R166" s="17">
        <f t="shared" ca="1" si="8"/>
        <v>1766</v>
      </c>
      <c r="S166" s="43">
        <f t="shared" si="6"/>
        <v>45657</v>
      </c>
      <c r="T166" s="44" t="str">
        <f t="shared" si="7"/>
        <v>Nor</v>
      </c>
      <c r="U166" s="13"/>
      <c r="V166" s="10"/>
      <c r="W166" s="10"/>
      <c r="X166" s="10"/>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0"/>
      <c r="BC166" s="10"/>
      <c r="BD166" s="10"/>
      <c r="BE166" s="10"/>
      <c r="BF166" s="10"/>
      <c r="BG166" s="10"/>
      <c r="BH166" s="10"/>
      <c r="BI166" s="10"/>
      <c r="BJ166" s="10"/>
      <c r="BK166" s="10"/>
      <c r="BL166" s="10"/>
      <c r="BM166" s="10"/>
      <c r="BN166" s="10"/>
      <c r="BO166" s="10"/>
      <c r="BP166" s="10"/>
      <c r="BQ166" s="10"/>
      <c r="BR166" s="10"/>
      <c r="BS166" s="10"/>
      <c r="BT166" s="10"/>
      <c r="BU166" s="10"/>
      <c r="BV166" s="10"/>
      <c r="BW166" s="10"/>
      <c r="BX166" s="10"/>
      <c r="BY166" s="10"/>
      <c r="BZ166" s="10"/>
      <c r="CA166" s="10"/>
      <c r="CB166" s="10"/>
      <c r="CC166" s="10"/>
      <c r="CD166" s="10"/>
      <c r="CE166" s="10"/>
      <c r="CF166" s="10"/>
      <c r="CG166" s="10"/>
      <c r="CH166" s="10"/>
      <c r="CI166" s="10"/>
      <c r="CJ166" s="10"/>
      <c r="CK166" s="10"/>
      <c r="CL166" s="10"/>
      <c r="CM166" s="10"/>
      <c r="CN166" s="10"/>
      <c r="CO166" s="10"/>
      <c r="CP166" s="10"/>
      <c r="CQ166" s="10"/>
      <c r="CR166" s="10"/>
      <c r="CS166" s="10"/>
      <c r="CT166" s="10"/>
      <c r="CU166" s="10"/>
      <c r="CV166" s="10"/>
      <c r="CW166" s="10"/>
      <c r="CX166" s="10"/>
      <c r="CY166" s="10"/>
      <c r="CZ166" s="10"/>
      <c r="DA166" s="10"/>
      <c r="DB166" s="10"/>
      <c r="DC166" s="10"/>
      <c r="DD166" s="10"/>
      <c r="DE166" s="10"/>
      <c r="DF166" s="10"/>
      <c r="DG166" s="10"/>
      <c r="DH166" s="10"/>
    </row>
    <row r="167" spans="1:112" ht="15.75" customHeight="1" x14ac:dyDescent="0.3">
      <c r="A167" s="13" t="s">
        <v>310</v>
      </c>
      <c r="B167" s="14">
        <v>45641</v>
      </c>
      <c r="C167" s="13" t="s">
        <v>183</v>
      </c>
      <c r="D167" s="13" t="s">
        <v>184</v>
      </c>
      <c r="E167" s="13" t="s">
        <v>45</v>
      </c>
      <c r="F167" s="13" t="s">
        <v>46</v>
      </c>
      <c r="G167" s="13" t="s">
        <v>47</v>
      </c>
      <c r="H167" s="13">
        <v>1</v>
      </c>
      <c r="I167" s="13">
        <v>149.99</v>
      </c>
      <c r="J167" s="13" t="s">
        <v>58</v>
      </c>
      <c r="K167" s="13" t="s">
        <v>64</v>
      </c>
      <c r="L167" s="13" t="s">
        <v>37</v>
      </c>
      <c r="M167" s="14">
        <v>45200</v>
      </c>
      <c r="N167" s="13">
        <v>149.99</v>
      </c>
      <c r="O167" s="10"/>
      <c r="P167" s="13"/>
      <c r="Q167" s="10"/>
      <c r="R167" s="17">
        <f t="shared" ca="1" si="8"/>
        <v>972</v>
      </c>
      <c r="S167" s="43">
        <f t="shared" si="6"/>
        <v>45657</v>
      </c>
      <c r="T167" s="44" t="str">
        <f t="shared" si="7"/>
        <v>Eas</v>
      </c>
      <c r="U167" s="13"/>
      <c r="V167" s="10"/>
      <c r="W167" s="10"/>
      <c r="X167" s="10"/>
      <c r="Y167" s="10"/>
      <c r="Z167" s="10"/>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0"/>
      <c r="BC167" s="10"/>
      <c r="BD167" s="10"/>
      <c r="BE167" s="10"/>
      <c r="BF167" s="10"/>
      <c r="BG167" s="10"/>
      <c r="BH167" s="10"/>
      <c r="BI167" s="10"/>
      <c r="BJ167" s="10"/>
      <c r="BK167" s="10"/>
      <c r="BL167" s="10"/>
      <c r="BM167" s="10"/>
      <c r="BN167" s="10"/>
      <c r="BO167" s="10"/>
      <c r="BP167" s="10"/>
      <c r="BQ167" s="10"/>
      <c r="BR167" s="10"/>
      <c r="BS167" s="10"/>
      <c r="BT167" s="10"/>
      <c r="BU167" s="10"/>
      <c r="BV167" s="10"/>
      <c r="BW167" s="10"/>
      <c r="BX167" s="10"/>
      <c r="BY167" s="10"/>
      <c r="BZ167" s="10"/>
      <c r="CA167" s="10"/>
      <c r="CB167" s="10"/>
      <c r="CC167" s="10"/>
      <c r="CD167" s="10"/>
      <c r="CE167" s="10"/>
      <c r="CF167" s="10"/>
      <c r="CG167" s="10"/>
      <c r="CH167" s="10"/>
      <c r="CI167" s="10"/>
      <c r="CJ167" s="10"/>
      <c r="CK167" s="10"/>
      <c r="CL167" s="10"/>
      <c r="CM167" s="10"/>
      <c r="CN167" s="10"/>
      <c r="CO167" s="10"/>
      <c r="CP167" s="10"/>
      <c r="CQ167" s="10"/>
      <c r="CR167" s="10"/>
      <c r="CS167" s="10"/>
      <c r="CT167" s="10"/>
      <c r="CU167" s="10"/>
      <c r="CV167" s="10"/>
      <c r="CW167" s="10"/>
      <c r="CX167" s="10"/>
      <c r="CY167" s="10"/>
      <c r="CZ167" s="10"/>
      <c r="DA167" s="10"/>
      <c r="DB167" s="10"/>
      <c r="DC167" s="10"/>
      <c r="DD167" s="10"/>
      <c r="DE167" s="10"/>
      <c r="DF167" s="10"/>
      <c r="DG167" s="10"/>
      <c r="DH167" s="10"/>
    </row>
    <row r="168" spans="1:112" ht="15.75" customHeight="1" x14ac:dyDescent="0.3">
      <c r="A168" s="13" t="s">
        <v>311</v>
      </c>
      <c r="B168" s="14">
        <v>45641</v>
      </c>
      <c r="C168" s="13" t="s">
        <v>139</v>
      </c>
      <c r="D168" s="13" t="s">
        <v>140</v>
      </c>
      <c r="E168" s="13" t="s">
        <v>106</v>
      </c>
      <c r="F168" s="13" t="s">
        <v>107</v>
      </c>
      <c r="G168" s="13" t="s">
        <v>47</v>
      </c>
      <c r="H168" s="13">
        <v>2</v>
      </c>
      <c r="I168" s="13">
        <v>299.99</v>
      </c>
      <c r="J168" s="13" t="s">
        <v>21</v>
      </c>
      <c r="K168" s="13" t="s">
        <v>64</v>
      </c>
      <c r="L168" s="13" t="s">
        <v>28</v>
      </c>
      <c r="M168" s="14">
        <v>44724</v>
      </c>
      <c r="N168" s="13">
        <v>599.98</v>
      </c>
      <c r="O168" s="10"/>
      <c r="P168" s="13"/>
      <c r="Q168" s="10"/>
      <c r="R168" s="17">
        <f t="shared" ca="1" si="8"/>
        <v>1448</v>
      </c>
      <c r="S168" s="43">
        <f t="shared" si="6"/>
        <v>45657</v>
      </c>
      <c r="T168" s="44" t="str">
        <f t="shared" si="7"/>
        <v>Eas</v>
      </c>
      <c r="U168" s="13"/>
      <c r="V168" s="10"/>
      <c r="W168" s="10"/>
      <c r="X168" s="10"/>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0"/>
      <c r="BC168" s="10"/>
      <c r="BD168" s="10"/>
      <c r="BE168" s="10"/>
      <c r="BF168" s="10"/>
      <c r="BG168" s="10"/>
      <c r="BH168" s="10"/>
      <c r="BI168" s="10"/>
      <c r="BJ168" s="10"/>
      <c r="BK168" s="10"/>
      <c r="BL168" s="10"/>
      <c r="BM168" s="10"/>
      <c r="BN168" s="10"/>
      <c r="BO168" s="10"/>
      <c r="BP168" s="10"/>
      <c r="BQ168" s="10"/>
      <c r="BR168" s="10"/>
      <c r="BS168" s="10"/>
      <c r="BT168" s="10"/>
      <c r="BU168" s="10"/>
      <c r="BV168" s="10"/>
      <c r="BW168" s="10"/>
      <c r="BX168" s="10"/>
      <c r="BY168" s="10"/>
      <c r="BZ168" s="10"/>
      <c r="CA168" s="10"/>
      <c r="CB168" s="10"/>
      <c r="CC168" s="10"/>
      <c r="CD168" s="10"/>
      <c r="CE168" s="10"/>
      <c r="CF168" s="10"/>
      <c r="CG168" s="10"/>
      <c r="CH168" s="10"/>
      <c r="CI168" s="10"/>
      <c r="CJ168" s="10"/>
      <c r="CK168" s="10"/>
      <c r="CL168" s="10"/>
      <c r="CM168" s="10"/>
      <c r="CN168" s="10"/>
      <c r="CO168" s="10"/>
      <c r="CP168" s="10"/>
      <c r="CQ168" s="10"/>
      <c r="CR168" s="10"/>
      <c r="CS168" s="10"/>
      <c r="CT168" s="10"/>
      <c r="CU168" s="10"/>
      <c r="CV168" s="10"/>
      <c r="CW168" s="10"/>
      <c r="CX168" s="10"/>
      <c r="CY168" s="10"/>
      <c r="CZ168" s="10"/>
      <c r="DA168" s="10"/>
      <c r="DB168" s="10"/>
      <c r="DC168" s="10"/>
      <c r="DD168" s="10"/>
      <c r="DE168" s="10"/>
      <c r="DF168" s="10"/>
      <c r="DG168" s="10"/>
      <c r="DH168" s="10"/>
    </row>
    <row r="169" spans="1:112" ht="15.75" customHeight="1" x14ac:dyDescent="0.3">
      <c r="A169" s="13" t="s">
        <v>312</v>
      </c>
      <c r="B169" s="14">
        <v>45644</v>
      </c>
      <c r="C169" s="13" t="s">
        <v>133</v>
      </c>
      <c r="D169" s="13" t="s">
        <v>134</v>
      </c>
      <c r="E169" s="13" t="s">
        <v>32</v>
      </c>
      <c r="F169" s="13" t="s">
        <v>33</v>
      </c>
      <c r="G169" s="13" t="s">
        <v>34</v>
      </c>
      <c r="H169" s="13">
        <v>2</v>
      </c>
      <c r="I169" s="13">
        <v>59.99</v>
      </c>
      <c r="J169" s="13" t="s">
        <v>21</v>
      </c>
      <c r="K169" s="13" t="s">
        <v>51</v>
      </c>
      <c r="L169" s="13" t="s">
        <v>23</v>
      </c>
      <c r="M169" s="14">
        <v>45191</v>
      </c>
      <c r="N169" s="13">
        <v>119.98</v>
      </c>
      <c r="O169" s="10"/>
      <c r="P169" s="13"/>
      <c r="Q169" s="10"/>
      <c r="R169" s="17">
        <f t="shared" ca="1" si="8"/>
        <v>981</v>
      </c>
      <c r="S169" s="43">
        <f t="shared" si="6"/>
        <v>45657</v>
      </c>
      <c r="T169" s="44" t="str">
        <f t="shared" si="7"/>
        <v>Wes</v>
      </c>
      <c r="U169" s="13"/>
      <c r="V169" s="10"/>
      <c r="W169" s="10"/>
      <c r="X169" s="10"/>
      <c r="Y169" s="10"/>
      <c r="Z169" s="10"/>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0"/>
      <c r="BC169" s="10"/>
      <c r="BD169" s="10"/>
      <c r="BE169" s="10"/>
      <c r="BF169" s="10"/>
      <c r="BG169" s="10"/>
      <c r="BH169" s="10"/>
      <c r="BI169" s="10"/>
      <c r="BJ169" s="10"/>
      <c r="BK169" s="10"/>
      <c r="BL169" s="10"/>
      <c r="BM169" s="10"/>
      <c r="BN169" s="10"/>
      <c r="BO169" s="10"/>
      <c r="BP169" s="10"/>
      <c r="BQ169" s="10"/>
      <c r="BR169" s="10"/>
      <c r="BS169" s="10"/>
      <c r="BT169" s="10"/>
      <c r="BU169" s="10"/>
      <c r="BV169" s="10"/>
      <c r="BW169" s="10"/>
      <c r="BX169" s="10"/>
      <c r="BY169" s="10"/>
      <c r="BZ169" s="10"/>
      <c r="CA169" s="10"/>
      <c r="CB169" s="10"/>
      <c r="CC169" s="10"/>
      <c r="CD169" s="10"/>
      <c r="CE169" s="10"/>
      <c r="CF169" s="10"/>
      <c r="CG169" s="10"/>
      <c r="CH169" s="10"/>
      <c r="CI169" s="10"/>
      <c r="CJ169" s="10"/>
      <c r="CK169" s="10"/>
      <c r="CL169" s="10"/>
      <c r="CM169" s="10"/>
      <c r="CN169" s="10"/>
      <c r="CO169" s="10"/>
      <c r="CP169" s="10"/>
      <c r="CQ169" s="10"/>
      <c r="CR169" s="10"/>
      <c r="CS169" s="10"/>
      <c r="CT169" s="10"/>
      <c r="CU169" s="10"/>
      <c r="CV169" s="10"/>
      <c r="CW169" s="10"/>
      <c r="CX169" s="10"/>
      <c r="CY169" s="10"/>
      <c r="CZ169" s="10"/>
      <c r="DA169" s="10"/>
      <c r="DB169" s="10"/>
      <c r="DC169" s="10"/>
      <c r="DD169" s="10"/>
      <c r="DE169" s="10"/>
      <c r="DF169" s="10"/>
      <c r="DG169" s="10"/>
      <c r="DH169" s="10"/>
    </row>
    <row r="170" spans="1:112" ht="15.75" customHeight="1" x14ac:dyDescent="0.3">
      <c r="A170" s="13" t="s">
        <v>313</v>
      </c>
      <c r="B170" s="14">
        <v>45645</v>
      </c>
      <c r="C170" s="13" t="s">
        <v>183</v>
      </c>
      <c r="D170" s="13" t="s">
        <v>184</v>
      </c>
      <c r="E170" s="13" t="s">
        <v>118</v>
      </c>
      <c r="F170" s="13" t="s">
        <v>119</v>
      </c>
      <c r="G170" s="13" t="s">
        <v>20</v>
      </c>
      <c r="H170" s="13">
        <v>1</v>
      </c>
      <c r="I170" s="13">
        <v>89.99</v>
      </c>
      <c r="J170" s="13" t="s">
        <v>58</v>
      </c>
      <c r="K170" s="13" t="s">
        <v>22</v>
      </c>
      <c r="L170" s="13" t="s">
        <v>37</v>
      </c>
      <c r="M170" s="14">
        <v>44760</v>
      </c>
      <c r="N170" s="13">
        <v>89.99</v>
      </c>
      <c r="O170" s="10"/>
      <c r="P170" s="13"/>
      <c r="Q170" s="10"/>
      <c r="R170" s="17">
        <f t="shared" ca="1" si="8"/>
        <v>1412</v>
      </c>
      <c r="S170" s="43">
        <f t="shared" si="6"/>
        <v>45657</v>
      </c>
      <c r="T170" s="44" t="str">
        <f t="shared" si="7"/>
        <v>Cen</v>
      </c>
      <c r="U170" s="13"/>
      <c r="V170" s="10"/>
      <c r="W170" s="10"/>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0"/>
      <c r="BC170" s="10"/>
      <c r="BD170" s="10"/>
      <c r="BE170" s="10"/>
      <c r="BF170" s="10"/>
      <c r="BG170" s="10"/>
      <c r="BH170" s="10"/>
      <c r="BI170" s="10"/>
      <c r="BJ170" s="10"/>
      <c r="BK170" s="10"/>
      <c r="BL170" s="10"/>
      <c r="BM170" s="10"/>
      <c r="BN170" s="10"/>
      <c r="BO170" s="10"/>
      <c r="BP170" s="10"/>
      <c r="BQ170" s="10"/>
      <c r="BR170" s="10"/>
      <c r="BS170" s="10"/>
      <c r="BT170" s="10"/>
      <c r="BU170" s="10"/>
      <c r="BV170" s="10"/>
      <c r="BW170" s="10"/>
      <c r="BX170" s="10"/>
      <c r="BY170" s="10"/>
      <c r="BZ170" s="10"/>
      <c r="CA170" s="10"/>
      <c r="CB170" s="10"/>
      <c r="CC170" s="10"/>
      <c r="CD170" s="10"/>
      <c r="CE170" s="10"/>
      <c r="CF170" s="10"/>
      <c r="CG170" s="10"/>
      <c r="CH170" s="10"/>
      <c r="CI170" s="10"/>
      <c r="CJ170" s="10"/>
      <c r="CK170" s="10"/>
      <c r="CL170" s="10"/>
      <c r="CM170" s="10"/>
      <c r="CN170" s="10"/>
      <c r="CO170" s="10"/>
      <c r="CP170" s="10"/>
      <c r="CQ170" s="10"/>
      <c r="CR170" s="10"/>
      <c r="CS170" s="10"/>
      <c r="CT170" s="10"/>
      <c r="CU170" s="10"/>
      <c r="CV170" s="10"/>
      <c r="CW170" s="10"/>
      <c r="CX170" s="10"/>
      <c r="CY170" s="10"/>
      <c r="CZ170" s="10"/>
      <c r="DA170" s="10"/>
      <c r="DB170" s="10"/>
      <c r="DC170" s="10"/>
      <c r="DD170" s="10"/>
      <c r="DE170" s="10"/>
      <c r="DF170" s="10"/>
      <c r="DG170" s="10"/>
      <c r="DH170" s="10"/>
    </row>
    <row r="171" spans="1:112" ht="15.75" customHeight="1" x14ac:dyDescent="0.3">
      <c r="A171" s="13" t="s">
        <v>314</v>
      </c>
      <c r="B171" s="14">
        <v>45645</v>
      </c>
      <c r="C171" s="13" t="s">
        <v>148</v>
      </c>
      <c r="D171" s="13" t="s">
        <v>149</v>
      </c>
      <c r="E171" s="13" t="s">
        <v>62</v>
      </c>
      <c r="F171" s="13" t="s">
        <v>63</v>
      </c>
      <c r="G171" s="13" t="s">
        <v>20</v>
      </c>
      <c r="H171" s="13">
        <v>5</v>
      </c>
      <c r="I171" s="13">
        <v>899.99</v>
      </c>
      <c r="J171" s="13" t="s">
        <v>58</v>
      </c>
      <c r="K171" s="13" t="s">
        <v>64</v>
      </c>
      <c r="L171" s="13" t="s">
        <v>37</v>
      </c>
      <c r="M171" s="14">
        <v>44625</v>
      </c>
      <c r="N171" s="13">
        <v>4499.95</v>
      </c>
      <c r="O171" s="10"/>
      <c r="P171" s="13"/>
      <c r="Q171" s="10"/>
      <c r="R171" s="17">
        <f t="shared" ca="1" si="8"/>
        <v>1547</v>
      </c>
      <c r="S171" s="43">
        <f t="shared" si="6"/>
        <v>45657</v>
      </c>
      <c r="T171" s="44" t="str">
        <f t="shared" si="7"/>
        <v>Eas</v>
      </c>
      <c r="U171" s="13"/>
      <c r="V171" s="10"/>
      <c r="W171" s="10"/>
      <c r="X171" s="10"/>
      <c r="Y171" s="10"/>
      <c r="Z171" s="10"/>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0"/>
      <c r="BC171" s="10"/>
      <c r="BD171" s="10"/>
      <c r="BE171" s="10"/>
      <c r="BF171" s="10"/>
      <c r="BG171" s="10"/>
      <c r="BH171" s="10"/>
      <c r="BI171" s="10"/>
      <c r="BJ171" s="10"/>
      <c r="BK171" s="10"/>
      <c r="BL171" s="10"/>
      <c r="BM171" s="10"/>
      <c r="BN171" s="10"/>
      <c r="BO171" s="10"/>
      <c r="BP171" s="10"/>
      <c r="BQ171" s="10"/>
      <c r="BR171" s="10"/>
      <c r="BS171" s="10"/>
      <c r="BT171" s="10"/>
      <c r="BU171" s="10"/>
      <c r="BV171" s="10"/>
      <c r="BW171" s="10"/>
      <c r="BX171" s="10"/>
      <c r="BY171" s="10"/>
      <c r="BZ171" s="10"/>
      <c r="CA171" s="10"/>
      <c r="CB171" s="10"/>
      <c r="CC171" s="10"/>
      <c r="CD171" s="10"/>
      <c r="CE171" s="10"/>
      <c r="CF171" s="10"/>
      <c r="CG171" s="10"/>
      <c r="CH171" s="10"/>
      <c r="CI171" s="10"/>
      <c r="CJ171" s="10"/>
      <c r="CK171" s="10"/>
      <c r="CL171" s="10"/>
      <c r="CM171" s="10"/>
      <c r="CN171" s="10"/>
      <c r="CO171" s="10"/>
      <c r="CP171" s="10"/>
      <c r="CQ171" s="10"/>
      <c r="CR171" s="10"/>
      <c r="CS171" s="10"/>
      <c r="CT171" s="10"/>
      <c r="CU171" s="10"/>
      <c r="CV171" s="10"/>
      <c r="CW171" s="10"/>
      <c r="CX171" s="10"/>
      <c r="CY171" s="10"/>
      <c r="CZ171" s="10"/>
      <c r="DA171" s="10"/>
      <c r="DB171" s="10"/>
      <c r="DC171" s="10"/>
      <c r="DD171" s="10"/>
      <c r="DE171" s="10"/>
      <c r="DF171" s="10"/>
      <c r="DG171" s="10"/>
      <c r="DH171" s="10"/>
    </row>
    <row r="172" spans="1:112" ht="15.75" customHeight="1" x14ac:dyDescent="0.3">
      <c r="A172" s="13" t="s">
        <v>315</v>
      </c>
      <c r="B172" s="14">
        <v>45646</v>
      </c>
      <c r="C172" s="13" t="s">
        <v>43</v>
      </c>
      <c r="D172" s="13" t="s">
        <v>44</v>
      </c>
      <c r="E172" s="13" t="s">
        <v>45</v>
      </c>
      <c r="F172" s="13" t="s">
        <v>46</v>
      </c>
      <c r="G172" s="13" t="s">
        <v>47</v>
      </c>
      <c r="H172" s="13">
        <v>2</v>
      </c>
      <c r="I172" s="13">
        <v>149.99</v>
      </c>
      <c r="J172" s="13" t="s">
        <v>21</v>
      </c>
      <c r="K172" s="13" t="s">
        <v>36</v>
      </c>
      <c r="L172" s="13" t="s">
        <v>23</v>
      </c>
      <c r="M172" s="14">
        <v>45239</v>
      </c>
      <c r="N172" s="13">
        <v>299.98</v>
      </c>
      <c r="O172" s="10"/>
      <c r="P172" s="13"/>
      <c r="Q172" s="10"/>
      <c r="R172" s="17">
        <f t="shared" ca="1" si="8"/>
        <v>933</v>
      </c>
      <c r="S172" s="43">
        <f t="shared" si="6"/>
        <v>45657</v>
      </c>
      <c r="T172" s="44" t="str">
        <f t="shared" si="7"/>
        <v>Sou</v>
      </c>
      <c r="U172" s="13"/>
      <c r="V172" s="10"/>
      <c r="W172" s="10"/>
      <c r="X172" s="10"/>
      <c r="Y172" s="10"/>
      <c r="Z172" s="10"/>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0"/>
      <c r="BC172" s="10"/>
      <c r="BD172" s="10"/>
      <c r="BE172" s="10"/>
      <c r="BF172" s="10"/>
      <c r="BG172" s="10"/>
      <c r="BH172" s="10"/>
      <c r="BI172" s="10"/>
      <c r="BJ172" s="10"/>
      <c r="BK172" s="10"/>
      <c r="BL172" s="10"/>
      <c r="BM172" s="10"/>
      <c r="BN172" s="10"/>
      <c r="BO172" s="10"/>
      <c r="BP172" s="10"/>
      <c r="BQ172" s="10"/>
      <c r="BR172" s="10"/>
      <c r="BS172" s="10"/>
      <c r="BT172" s="10"/>
      <c r="BU172" s="10"/>
      <c r="BV172" s="10"/>
      <c r="BW172" s="10"/>
      <c r="BX172" s="10"/>
      <c r="BY172" s="10"/>
      <c r="BZ172" s="10"/>
      <c r="CA172" s="10"/>
      <c r="CB172" s="10"/>
      <c r="CC172" s="10"/>
      <c r="CD172" s="10"/>
      <c r="CE172" s="10"/>
      <c r="CF172" s="10"/>
      <c r="CG172" s="10"/>
      <c r="CH172" s="10"/>
      <c r="CI172" s="10"/>
      <c r="CJ172" s="10"/>
      <c r="CK172" s="10"/>
      <c r="CL172" s="10"/>
      <c r="CM172" s="10"/>
      <c r="CN172" s="10"/>
      <c r="CO172" s="10"/>
      <c r="CP172" s="10"/>
      <c r="CQ172" s="10"/>
      <c r="CR172" s="10"/>
      <c r="CS172" s="10"/>
      <c r="CT172" s="10"/>
      <c r="CU172" s="10"/>
      <c r="CV172" s="10"/>
      <c r="CW172" s="10"/>
      <c r="CX172" s="10"/>
      <c r="CY172" s="10"/>
      <c r="CZ172" s="10"/>
      <c r="DA172" s="10"/>
      <c r="DB172" s="10"/>
      <c r="DC172" s="10"/>
      <c r="DD172" s="10"/>
      <c r="DE172" s="10"/>
      <c r="DF172" s="10"/>
      <c r="DG172" s="10"/>
      <c r="DH172" s="10"/>
    </row>
    <row r="173" spans="1:112" ht="15.75" customHeight="1" x14ac:dyDescent="0.3">
      <c r="A173" s="13" t="s">
        <v>316</v>
      </c>
      <c r="B173" s="14">
        <v>45648</v>
      </c>
      <c r="C173" s="13" t="s">
        <v>113</v>
      </c>
      <c r="D173" s="13" t="s">
        <v>114</v>
      </c>
      <c r="E173" s="13" t="s">
        <v>53</v>
      </c>
      <c r="F173" s="13" t="s">
        <v>54</v>
      </c>
      <c r="G173" s="13" t="s">
        <v>20</v>
      </c>
      <c r="H173" s="13">
        <v>2</v>
      </c>
      <c r="I173" s="13">
        <v>149.99</v>
      </c>
      <c r="J173" s="13" t="s">
        <v>58</v>
      </c>
      <c r="K173" s="13" t="s">
        <v>51</v>
      </c>
      <c r="L173" s="13" t="s">
        <v>28</v>
      </c>
      <c r="M173" s="14">
        <v>45280</v>
      </c>
      <c r="N173" s="13">
        <v>299.98</v>
      </c>
      <c r="O173" s="10"/>
      <c r="P173" s="13"/>
      <c r="Q173" s="10"/>
      <c r="R173" s="17">
        <f t="shared" ca="1" si="8"/>
        <v>892</v>
      </c>
      <c r="S173" s="43">
        <f t="shared" si="6"/>
        <v>45657</v>
      </c>
      <c r="T173" s="44" t="str">
        <f t="shared" si="7"/>
        <v>Wes</v>
      </c>
      <c r="U173" s="13"/>
      <c r="V173" s="10"/>
      <c r="W173" s="10"/>
      <c r="X173" s="10"/>
      <c r="Y173" s="10"/>
      <c r="Z173" s="10"/>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0"/>
      <c r="BC173" s="10"/>
      <c r="BD173" s="10"/>
      <c r="BE173" s="10"/>
      <c r="BF173" s="10"/>
      <c r="BG173" s="10"/>
      <c r="BH173" s="10"/>
      <c r="BI173" s="10"/>
      <c r="BJ173" s="10"/>
      <c r="BK173" s="10"/>
      <c r="BL173" s="10"/>
      <c r="BM173" s="10"/>
      <c r="BN173" s="10"/>
      <c r="BO173" s="10"/>
      <c r="BP173" s="10"/>
      <c r="BQ173" s="10"/>
      <c r="BR173" s="10"/>
      <c r="BS173" s="10"/>
      <c r="BT173" s="10"/>
      <c r="BU173" s="10"/>
      <c r="BV173" s="10"/>
      <c r="BW173" s="10"/>
      <c r="BX173" s="10"/>
      <c r="BY173" s="10"/>
      <c r="BZ173" s="10"/>
      <c r="CA173" s="10"/>
      <c r="CB173" s="10"/>
      <c r="CC173" s="10"/>
      <c r="CD173" s="10"/>
      <c r="CE173" s="10"/>
      <c r="CF173" s="10"/>
      <c r="CG173" s="10"/>
      <c r="CH173" s="10"/>
      <c r="CI173" s="10"/>
      <c r="CJ173" s="10"/>
      <c r="CK173" s="10"/>
      <c r="CL173" s="10"/>
      <c r="CM173" s="10"/>
      <c r="CN173" s="10"/>
      <c r="CO173" s="10"/>
      <c r="CP173" s="10"/>
      <c r="CQ173" s="10"/>
      <c r="CR173" s="10"/>
      <c r="CS173" s="10"/>
      <c r="CT173" s="10"/>
      <c r="CU173" s="10"/>
      <c r="CV173" s="10"/>
      <c r="CW173" s="10"/>
      <c r="CX173" s="10"/>
      <c r="CY173" s="10"/>
      <c r="CZ173" s="10"/>
      <c r="DA173" s="10"/>
      <c r="DB173" s="10"/>
      <c r="DC173" s="10"/>
      <c r="DD173" s="10"/>
      <c r="DE173" s="10"/>
      <c r="DF173" s="10"/>
      <c r="DG173" s="10"/>
      <c r="DH173" s="10"/>
    </row>
    <row r="174" spans="1:112" ht="15.75" customHeight="1" x14ac:dyDescent="0.3">
      <c r="A174" s="13" t="s">
        <v>317</v>
      </c>
      <c r="B174" s="14">
        <v>45648</v>
      </c>
      <c r="C174" s="13" t="s">
        <v>183</v>
      </c>
      <c r="D174" s="13" t="s">
        <v>184</v>
      </c>
      <c r="E174" s="13" t="s">
        <v>45</v>
      </c>
      <c r="F174" s="13" t="s">
        <v>46</v>
      </c>
      <c r="G174" s="13" t="s">
        <v>47</v>
      </c>
      <c r="H174" s="13">
        <v>3</v>
      </c>
      <c r="I174" s="13">
        <v>149.99</v>
      </c>
      <c r="J174" s="13" t="s">
        <v>58</v>
      </c>
      <c r="K174" s="13" t="s">
        <v>41</v>
      </c>
      <c r="L174" s="13" t="s">
        <v>37</v>
      </c>
      <c r="M174" s="14">
        <v>44522</v>
      </c>
      <c r="N174" s="13">
        <v>449.97</v>
      </c>
      <c r="O174" s="10"/>
      <c r="P174" s="13"/>
      <c r="Q174" s="10"/>
      <c r="R174" s="17">
        <f t="shared" ca="1" si="8"/>
        <v>1650</v>
      </c>
      <c r="S174" s="43">
        <f t="shared" si="6"/>
        <v>45657</v>
      </c>
      <c r="T174" s="44" t="str">
        <f t="shared" si="7"/>
        <v>Nor</v>
      </c>
      <c r="U174" s="13"/>
      <c r="V174" s="10"/>
      <c r="W174" s="10"/>
      <c r="X174" s="10"/>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0"/>
      <c r="BC174" s="10"/>
      <c r="BD174" s="10"/>
      <c r="BE174" s="10"/>
      <c r="BF174" s="10"/>
      <c r="BG174" s="10"/>
      <c r="BH174" s="10"/>
      <c r="BI174" s="10"/>
      <c r="BJ174" s="10"/>
      <c r="BK174" s="10"/>
      <c r="BL174" s="10"/>
      <c r="BM174" s="10"/>
      <c r="BN174" s="10"/>
      <c r="BO174" s="10"/>
      <c r="BP174" s="10"/>
      <c r="BQ174" s="10"/>
      <c r="BR174" s="10"/>
      <c r="BS174" s="10"/>
      <c r="BT174" s="10"/>
      <c r="BU174" s="10"/>
      <c r="BV174" s="10"/>
      <c r="BW174" s="10"/>
      <c r="BX174" s="10"/>
      <c r="BY174" s="10"/>
      <c r="BZ174" s="10"/>
      <c r="CA174" s="10"/>
      <c r="CB174" s="10"/>
      <c r="CC174" s="10"/>
      <c r="CD174" s="10"/>
      <c r="CE174" s="10"/>
      <c r="CF174" s="10"/>
      <c r="CG174" s="10"/>
      <c r="CH174" s="10"/>
      <c r="CI174" s="10"/>
      <c r="CJ174" s="10"/>
      <c r="CK174" s="10"/>
      <c r="CL174" s="10"/>
      <c r="CM174" s="10"/>
      <c r="CN174" s="10"/>
      <c r="CO174" s="10"/>
      <c r="CP174" s="10"/>
      <c r="CQ174" s="10"/>
      <c r="CR174" s="10"/>
      <c r="CS174" s="10"/>
      <c r="CT174" s="10"/>
      <c r="CU174" s="10"/>
      <c r="CV174" s="10"/>
      <c r="CW174" s="10"/>
      <c r="CX174" s="10"/>
      <c r="CY174" s="10"/>
      <c r="CZ174" s="10"/>
      <c r="DA174" s="10"/>
      <c r="DB174" s="10"/>
      <c r="DC174" s="10"/>
      <c r="DD174" s="10"/>
      <c r="DE174" s="10"/>
      <c r="DF174" s="10"/>
      <c r="DG174" s="10"/>
      <c r="DH174" s="10"/>
    </row>
    <row r="175" spans="1:112" ht="15.75" customHeight="1" x14ac:dyDescent="0.3">
      <c r="A175" s="13" t="s">
        <v>318</v>
      </c>
      <c r="B175" s="14">
        <v>45649</v>
      </c>
      <c r="C175" s="13" t="s">
        <v>30</v>
      </c>
      <c r="D175" s="13" t="s">
        <v>31</v>
      </c>
      <c r="E175" s="13" t="s">
        <v>106</v>
      </c>
      <c r="F175" s="13" t="s">
        <v>107</v>
      </c>
      <c r="G175" s="13" t="s">
        <v>47</v>
      </c>
      <c r="H175" s="13">
        <v>2</v>
      </c>
      <c r="I175" s="13">
        <v>299.99</v>
      </c>
      <c r="J175" s="13" t="s">
        <v>35</v>
      </c>
      <c r="K175" s="13" t="s">
        <v>36</v>
      </c>
      <c r="L175" s="13" t="s">
        <v>23</v>
      </c>
      <c r="M175" s="14">
        <v>44721</v>
      </c>
      <c r="N175" s="13">
        <v>599.98</v>
      </c>
      <c r="O175" s="10"/>
      <c r="P175" s="13"/>
      <c r="Q175" s="10"/>
      <c r="R175" s="17">
        <f t="shared" ca="1" si="8"/>
        <v>1451</v>
      </c>
      <c r="S175" s="43">
        <f t="shared" si="6"/>
        <v>45657</v>
      </c>
      <c r="T175" s="44" t="str">
        <f t="shared" si="7"/>
        <v>Sou</v>
      </c>
      <c r="U175" s="13"/>
      <c r="V175" s="10"/>
      <c r="W175" s="10"/>
      <c r="X175" s="10"/>
      <c r="Y175" s="10"/>
      <c r="Z175" s="10"/>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0"/>
      <c r="BC175" s="10"/>
      <c r="BD175" s="10"/>
      <c r="BE175" s="10"/>
      <c r="BF175" s="10"/>
      <c r="BG175" s="10"/>
      <c r="BH175" s="10"/>
      <c r="BI175" s="10"/>
      <c r="BJ175" s="10"/>
      <c r="BK175" s="10"/>
      <c r="BL175" s="10"/>
      <c r="BM175" s="10"/>
      <c r="BN175" s="10"/>
      <c r="BO175" s="10"/>
      <c r="BP175" s="10"/>
      <c r="BQ175" s="10"/>
      <c r="BR175" s="10"/>
      <c r="BS175" s="10"/>
      <c r="BT175" s="10"/>
      <c r="BU175" s="10"/>
      <c r="BV175" s="10"/>
      <c r="BW175" s="10"/>
      <c r="BX175" s="10"/>
      <c r="BY175" s="10"/>
      <c r="BZ175" s="10"/>
      <c r="CA175" s="10"/>
      <c r="CB175" s="10"/>
      <c r="CC175" s="10"/>
      <c r="CD175" s="10"/>
      <c r="CE175" s="10"/>
      <c r="CF175" s="10"/>
      <c r="CG175" s="10"/>
      <c r="CH175" s="10"/>
      <c r="CI175" s="10"/>
      <c r="CJ175" s="10"/>
      <c r="CK175" s="10"/>
      <c r="CL175" s="10"/>
      <c r="CM175" s="10"/>
      <c r="CN175" s="10"/>
      <c r="CO175" s="10"/>
      <c r="CP175" s="10"/>
      <c r="CQ175" s="10"/>
      <c r="CR175" s="10"/>
      <c r="CS175" s="10"/>
      <c r="CT175" s="10"/>
      <c r="CU175" s="10"/>
      <c r="CV175" s="10"/>
      <c r="CW175" s="10"/>
      <c r="CX175" s="10"/>
      <c r="CY175" s="10"/>
      <c r="CZ175" s="10"/>
      <c r="DA175" s="10"/>
      <c r="DB175" s="10"/>
      <c r="DC175" s="10"/>
      <c r="DD175" s="10"/>
      <c r="DE175" s="10"/>
      <c r="DF175" s="10"/>
      <c r="DG175" s="10"/>
      <c r="DH175" s="10"/>
    </row>
    <row r="176" spans="1:112" ht="15.75" customHeight="1" x14ac:dyDescent="0.3">
      <c r="A176" s="13" t="s">
        <v>319</v>
      </c>
      <c r="B176" s="14">
        <v>45654</v>
      </c>
      <c r="C176" s="13" t="s">
        <v>43</v>
      </c>
      <c r="D176" s="13" t="s">
        <v>44</v>
      </c>
      <c r="E176" s="13" t="s">
        <v>106</v>
      </c>
      <c r="F176" s="13" t="s">
        <v>107</v>
      </c>
      <c r="G176" s="13" t="s">
        <v>47</v>
      </c>
      <c r="H176" s="13">
        <v>2</v>
      </c>
      <c r="I176" s="13">
        <v>299.99</v>
      </c>
      <c r="J176" s="13" t="s">
        <v>21</v>
      </c>
      <c r="K176" s="13" t="s">
        <v>51</v>
      </c>
      <c r="L176" s="13" t="s">
        <v>23</v>
      </c>
      <c r="M176" s="14">
        <v>44771</v>
      </c>
      <c r="N176" s="13">
        <v>599.98</v>
      </c>
      <c r="O176" s="10"/>
      <c r="P176" s="13"/>
      <c r="Q176" s="10"/>
      <c r="R176" s="17">
        <f t="shared" ca="1" si="8"/>
        <v>1401</v>
      </c>
      <c r="S176" s="43">
        <f t="shared" si="6"/>
        <v>45657</v>
      </c>
      <c r="T176" s="44" t="str">
        <f t="shared" si="7"/>
        <v>Wes</v>
      </c>
      <c r="U176" s="13"/>
      <c r="V176" s="10"/>
      <c r="W176" s="10"/>
      <c r="X176" s="10"/>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0"/>
      <c r="BC176" s="10"/>
      <c r="BD176" s="10"/>
      <c r="BE176" s="10"/>
      <c r="BF176" s="10"/>
      <c r="BG176" s="10"/>
      <c r="BH176" s="10"/>
      <c r="BI176" s="10"/>
      <c r="BJ176" s="10"/>
      <c r="BK176" s="10"/>
      <c r="BL176" s="10"/>
      <c r="BM176" s="10"/>
      <c r="BN176" s="10"/>
      <c r="BO176" s="10"/>
      <c r="BP176" s="10"/>
      <c r="BQ176" s="10"/>
      <c r="BR176" s="10"/>
      <c r="BS176" s="10"/>
      <c r="BT176" s="10"/>
      <c r="BU176" s="10"/>
      <c r="BV176" s="10"/>
      <c r="BW176" s="10"/>
      <c r="BX176" s="10"/>
      <c r="BY176" s="10"/>
      <c r="BZ176" s="10"/>
      <c r="CA176" s="10"/>
      <c r="CB176" s="10"/>
      <c r="CC176" s="10"/>
      <c r="CD176" s="10"/>
      <c r="CE176" s="10"/>
      <c r="CF176" s="10"/>
      <c r="CG176" s="10"/>
      <c r="CH176" s="10"/>
      <c r="CI176" s="10"/>
      <c r="CJ176" s="10"/>
      <c r="CK176" s="10"/>
      <c r="CL176" s="10"/>
      <c r="CM176" s="10"/>
      <c r="CN176" s="10"/>
      <c r="CO176" s="10"/>
      <c r="CP176" s="10"/>
      <c r="CQ176" s="10"/>
      <c r="CR176" s="10"/>
      <c r="CS176" s="10"/>
      <c r="CT176" s="10"/>
      <c r="CU176" s="10"/>
      <c r="CV176" s="10"/>
      <c r="CW176" s="10"/>
      <c r="CX176" s="10"/>
      <c r="CY176" s="10"/>
      <c r="CZ176" s="10"/>
      <c r="DA176" s="10"/>
      <c r="DB176" s="10"/>
      <c r="DC176" s="10"/>
      <c r="DD176" s="10"/>
      <c r="DE176" s="10"/>
      <c r="DF176" s="10"/>
      <c r="DG176" s="10"/>
      <c r="DH176" s="10"/>
    </row>
    <row r="177" spans="1:112" ht="15.75" customHeight="1" x14ac:dyDescent="0.3">
      <c r="A177" s="13" t="s">
        <v>320</v>
      </c>
      <c r="B177" s="14">
        <v>45654</v>
      </c>
      <c r="C177" s="13" t="s">
        <v>121</v>
      </c>
      <c r="D177" s="13" t="s">
        <v>122</v>
      </c>
      <c r="E177" s="13" t="s">
        <v>127</v>
      </c>
      <c r="F177" s="13" t="s">
        <v>128</v>
      </c>
      <c r="G177" s="13" t="s">
        <v>47</v>
      </c>
      <c r="H177" s="13">
        <v>4</v>
      </c>
      <c r="I177" s="13">
        <v>199.99</v>
      </c>
      <c r="J177" s="13" t="s">
        <v>27</v>
      </c>
      <c r="K177" s="13" t="s">
        <v>22</v>
      </c>
      <c r="L177" s="13" t="s">
        <v>23</v>
      </c>
      <c r="M177" s="14">
        <v>44523</v>
      </c>
      <c r="N177" s="13">
        <v>799.96</v>
      </c>
      <c r="O177" s="10"/>
      <c r="P177" s="13"/>
      <c r="Q177" s="10"/>
      <c r="R177" s="17">
        <f t="shared" ca="1" si="8"/>
        <v>1649</v>
      </c>
      <c r="S177" s="43">
        <f t="shared" si="6"/>
        <v>45657</v>
      </c>
      <c r="T177" s="44" t="str">
        <f t="shared" si="7"/>
        <v>Cen</v>
      </c>
      <c r="U177" s="13"/>
      <c r="V177" s="10"/>
      <c r="W177" s="10"/>
      <c r="X177" s="10"/>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0"/>
      <c r="BC177" s="10"/>
      <c r="BD177" s="10"/>
      <c r="BE177" s="10"/>
      <c r="BF177" s="10"/>
      <c r="BG177" s="10"/>
      <c r="BH177" s="10"/>
      <c r="BI177" s="10"/>
      <c r="BJ177" s="10"/>
      <c r="BK177" s="10"/>
      <c r="BL177" s="10"/>
      <c r="BM177" s="10"/>
      <c r="BN177" s="10"/>
      <c r="BO177" s="10"/>
      <c r="BP177" s="10"/>
      <c r="BQ177" s="10"/>
      <c r="BR177" s="10"/>
      <c r="BS177" s="10"/>
      <c r="BT177" s="10"/>
      <c r="BU177" s="10"/>
      <c r="BV177" s="10"/>
      <c r="BW177" s="10"/>
      <c r="BX177" s="10"/>
      <c r="BY177" s="10"/>
      <c r="BZ177" s="10"/>
      <c r="CA177" s="10"/>
      <c r="CB177" s="10"/>
      <c r="CC177" s="10"/>
      <c r="CD177" s="10"/>
      <c r="CE177" s="10"/>
      <c r="CF177" s="10"/>
      <c r="CG177" s="10"/>
      <c r="CH177" s="10"/>
      <c r="CI177" s="10"/>
      <c r="CJ177" s="10"/>
      <c r="CK177" s="10"/>
      <c r="CL177" s="10"/>
      <c r="CM177" s="10"/>
      <c r="CN177" s="10"/>
      <c r="CO177" s="10"/>
      <c r="CP177" s="10"/>
      <c r="CQ177" s="10"/>
      <c r="CR177" s="10"/>
      <c r="CS177" s="10"/>
      <c r="CT177" s="10"/>
      <c r="CU177" s="10"/>
      <c r="CV177" s="10"/>
      <c r="CW177" s="10"/>
      <c r="CX177" s="10"/>
      <c r="CY177" s="10"/>
      <c r="CZ177" s="10"/>
      <c r="DA177" s="10"/>
      <c r="DB177" s="10"/>
      <c r="DC177" s="10"/>
      <c r="DD177" s="10"/>
      <c r="DE177" s="10"/>
      <c r="DF177" s="10"/>
      <c r="DG177" s="10"/>
      <c r="DH177" s="10"/>
    </row>
    <row r="178" spans="1:112" ht="15.75" customHeight="1" x14ac:dyDescent="0.3">
      <c r="A178" s="13" t="s">
        <v>321</v>
      </c>
      <c r="B178" s="14">
        <v>45655</v>
      </c>
      <c r="C178" s="13" t="s">
        <v>60</v>
      </c>
      <c r="D178" s="13" t="s">
        <v>61</v>
      </c>
      <c r="E178" s="13" t="s">
        <v>118</v>
      </c>
      <c r="F178" s="13" t="s">
        <v>119</v>
      </c>
      <c r="G178" s="13" t="s">
        <v>20</v>
      </c>
      <c r="H178" s="13">
        <v>1</v>
      </c>
      <c r="I178" s="13">
        <v>89.99</v>
      </c>
      <c r="J178" s="13" t="s">
        <v>27</v>
      </c>
      <c r="K178" s="13" t="s">
        <v>36</v>
      </c>
      <c r="L178" s="13" t="s">
        <v>28</v>
      </c>
      <c r="M178" s="14">
        <v>44591</v>
      </c>
      <c r="N178" s="13">
        <v>89.99</v>
      </c>
      <c r="O178" s="10"/>
      <c r="P178" s="13"/>
      <c r="Q178" s="10"/>
      <c r="R178" s="17">
        <f t="shared" ca="1" si="8"/>
        <v>1581</v>
      </c>
      <c r="S178" s="43">
        <f t="shared" si="6"/>
        <v>45657</v>
      </c>
      <c r="T178" s="44" t="str">
        <f t="shared" si="7"/>
        <v>Sou</v>
      </c>
      <c r="U178" s="13"/>
      <c r="V178" s="10"/>
      <c r="W178" s="10"/>
      <c r="X178" s="10"/>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0"/>
      <c r="BC178" s="10"/>
      <c r="BD178" s="10"/>
      <c r="BE178" s="10"/>
      <c r="BF178" s="10"/>
      <c r="BG178" s="10"/>
      <c r="BH178" s="10"/>
      <c r="BI178" s="10"/>
      <c r="BJ178" s="10"/>
      <c r="BK178" s="10"/>
      <c r="BL178" s="10"/>
      <c r="BM178" s="10"/>
      <c r="BN178" s="10"/>
      <c r="BO178" s="10"/>
      <c r="BP178" s="10"/>
      <c r="BQ178" s="10"/>
      <c r="BR178" s="10"/>
      <c r="BS178" s="10"/>
      <c r="BT178" s="10"/>
      <c r="BU178" s="10"/>
      <c r="BV178" s="10"/>
      <c r="BW178" s="10"/>
      <c r="BX178" s="10"/>
      <c r="BY178" s="10"/>
      <c r="BZ178" s="10"/>
      <c r="CA178" s="10"/>
      <c r="CB178" s="10"/>
      <c r="CC178" s="10"/>
      <c r="CD178" s="10"/>
      <c r="CE178" s="10"/>
      <c r="CF178" s="10"/>
      <c r="CG178" s="10"/>
      <c r="CH178" s="10"/>
      <c r="CI178" s="10"/>
      <c r="CJ178" s="10"/>
      <c r="CK178" s="10"/>
      <c r="CL178" s="10"/>
      <c r="CM178" s="10"/>
      <c r="CN178" s="10"/>
      <c r="CO178" s="10"/>
      <c r="CP178" s="10"/>
      <c r="CQ178" s="10"/>
      <c r="CR178" s="10"/>
      <c r="CS178" s="10"/>
      <c r="CT178" s="10"/>
      <c r="CU178" s="10"/>
      <c r="CV178" s="10"/>
      <c r="CW178" s="10"/>
      <c r="CX178" s="10"/>
      <c r="CY178" s="10"/>
      <c r="CZ178" s="10"/>
      <c r="DA178" s="10"/>
      <c r="DB178" s="10"/>
      <c r="DC178" s="10"/>
      <c r="DD178" s="10"/>
      <c r="DE178" s="10"/>
      <c r="DF178" s="10"/>
      <c r="DG178" s="10"/>
      <c r="DH178" s="10"/>
    </row>
    <row r="179" spans="1:112" ht="15.75" customHeight="1" x14ac:dyDescent="0.3">
      <c r="A179" s="13" t="s">
        <v>322</v>
      </c>
      <c r="B179" s="14">
        <v>45655</v>
      </c>
      <c r="C179" s="13" t="s">
        <v>109</v>
      </c>
      <c r="D179" s="13" t="s">
        <v>110</v>
      </c>
      <c r="E179" s="13" t="s">
        <v>45</v>
      </c>
      <c r="F179" s="13" t="s">
        <v>46</v>
      </c>
      <c r="G179" s="13" t="s">
        <v>47</v>
      </c>
      <c r="H179" s="13">
        <v>5</v>
      </c>
      <c r="I179" s="13">
        <v>149.99</v>
      </c>
      <c r="J179" s="13" t="s">
        <v>21</v>
      </c>
      <c r="K179" s="13" t="s">
        <v>22</v>
      </c>
      <c r="L179" s="13" t="s">
        <v>28</v>
      </c>
      <c r="M179" s="14">
        <v>45347</v>
      </c>
      <c r="N179" s="13">
        <v>749.95</v>
      </c>
      <c r="O179" s="10"/>
      <c r="P179" s="13"/>
      <c r="Q179" s="10"/>
      <c r="R179" s="17">
        <f t="shared" ca="1" si="8"/>
        <v>825</v>
      </c>
      <c r="S179" s="43">
        <f t="shared" si="6"/>
        <v>45657</v>
      </c>
      <c r="T179" s="44" t="str">
        <f t="shared" si="7"/>
        <v>Cen</v>
      </c>
      <c r="U179" s="13"/>
      <c r="V179" s="10"/>
      <c r="W179" s="10"/>
      <c r="X179" s="10"/>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0"/>
      <c r="BC179" s="10"/>
      <c r="BD179" s="10"/>
      <c r="BE179" s="10"/>
      <c r="BF179" s="10"/>
      <c r="BG179" s="10"/>
      <c r="BH179" s="10"/>
      <c r="BI179" s="10"/>
      <c r="BJ179" s="10"/>
      <c r="BK179" s="10"/>
      <c r="BL179" s="10"/>
      <c r="BM179" s="10"/>
      <c r="BN179" s="10"/>
      <c r="BO179" s="10"/>
      <c r="BP179" s="10"/>
      <c r="BQ179" s="10"/>
      <c r="BR179" s="10"/>
      <c r="BS179" s="10"/>
      <c r="BT179" s="10"/>
      <c r="BU179" s="10"/>
      <c r="BV179" s="10"/>
      <c r="BW179" s="10"/>
      <c r="BX179" s="10"/>
      <c r="BY179" s="10"/>
      <c r="BZ179" s="10"/>
      <c r="CA179" s="10"/>
      <c r="CB179" s="10"/>
      <c r="CC179" s="10"/>
      <c r="CD179" s="10"/>
      <c r="CE179" s="10"/>
      <c r="CF179" s="10"/>
      <c r="CG179" s="10"/>
      <c r="CH179" s="10"/>
      <c r="CI179" s="10"/>
      <c r="CJ179" s="10"/>
      <c r="CK179" s="10"/>
      <c r="CL179" s="10"/>
      <c r="CM179" s="10"/>
      <c r="CN179" s="10"/>
      <c r="CO179" s="10"/>
      <c r="CP179" s="10"/>
      <c r="CQ179" s="10"/>
      <c r="CR179" s="10"/>
      <c r="CS179" s="10"/>
      <c r="CT179" s="10"/>
      <c r="CU179" s="10"/>
      <c r="CV179" s="10"/>
      <c r="CW179" s="10"/>
      <c r="CX179" s="10"/>
      <c r="CY179" s="10"/>
      <c r="CZ179" s="10"/>
      <c r="DA179" s="10"/>
      <c r="DB179" s="10"/>
      <c r="DC179" s="10"/>
      <c r="DD179" s="10"/>
      <c r="DE179" s="10"/>
      <c r="DF179" s="10"/>
      <c r="DG179" s="10"/>
      <c r="DH179" s="10"/>
    </row>
    <row r="180" spans="1:112" ht="15.75" customHeight="1" x14ac:dyDescent="0.3">
      <c r="A180" s="13" t="s">
        <v>323</v>
      </c>
      <c r="B180" s="14">
        <v>45657</v>
      </c>
      <c r="C180" s="13" t="s">
        <v>87</v>
      </c>
      <c r="D180" s="13" t="s">
        <v>88</v>
      </c>
      <c r="E180" s="13" t="s">
        <v>62</v>
      </c>
      <c r="F180" s="13" t="s">
        <v>63</v>
      </c>
      <c r="G180" s="13" t="s">
        <v>20</v>
      </c>
      <c r="H180" s="13">
        <v>1</v>
      </c>
      <c r="I180" s="13">
        <v>899.99</v>
      </c>
      <c r="J180" s="13" t="s">
        <v>35</v>
      </c>
      <c r="K180" s="13" t="s">
        <v>41</v>
      </c>
      <c r="L180" s="13" t="s">
        <v>28</v>
      </c>
      <c r="M180" s="14">
        <v>45050</v>
      </c>
      <c r="N180" s="13">
        <v>899.99</v>
      </c>
      <c r="O180" s="10"/>
      <c r="P180" s="13"/>
      <c r="Q180" s="10"/>
      <c r="R180" s="17">
        <f t="shared" ca="1" si="8"/>
        <v>1122</v>
      </c>
      <c r="S180" s="43">
        <f t="shared" si="6"/>
        <v>45657</v>
      </c>
      <c r="T180" s="44" t="str">
        <f t="shared" si="7"/>
        <v>Nor</v>
      </c>
      <c r="U180" s="13"/>
      <c r="V180" s="10"/>
      <c r="W180" s="10"/>
      <c r="X180" s="10"/>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0"/>
      <c r="BC180" s="10"/>
      <c r="BD180" s="10"/>
      <c r="BE180" s="10"/>
      <c r="BF180" s="10"/>
      <c r="BG180" s="10"/>
      <c r="BH180" s="10"/>
      <c r="BI180" s="10"/>
      <c r="BJ180" s="10"/>
      <c r="BK180" s="10"/>
      <c r="BL180" s="10"/>
      <c r="BM180" s="10"/>
      <c r="BN180" s="10"/>
      <c r="BO180" s="10"/>
      <c r="BP180" s="10"/>
      <c r="BQ180" s="10"/>
      <c r="BR180" s="10"/>
      <c r="BS180" s="10"/>
      <c r="BT180" s="10"/>
      <c r="BU180" s="10"/>
      <c r="BV180" s="10"/>
      <c r="BW180" s="10"/>
      <c r="BX180" s="10"/>
      <c r="BY180" s="10"/>
      <c r="BZ180" s="10"/>
      <c r="CA180" s="10"/>
      <c r="CB180" s="10"/>
      <c r="CC180" s="10"/>
      <c r="CD180" s="10"/>
      <c r="CE180" s="10"/>
      <c r="CF180" s="10"/>
      <c r="CG180" s="10"/>
      <c r="CH180" s="10"/>
      <c r="CI180" s="10"/>
      <c r="CJ180" s="10"/>
      <c r="CK180" s="10"/>
      <c r="CL180" s="10"/>
      <c r="CM180" s="10"/>
      <c r="CN180" s="10"/>
      <c r="CO180" s="10"/>
      <c r="CP180" s="10"/>
      <c r="CQ180" s="10"/>
      <c r="CR180" s="10"/>
      <c r="CS180" s="10"/>
      <c r="CT180" s="10"/>
      <c r="CU180" s="10"/>
      <c r="CV180" s="10"/>
      <c r="CW180" s="10"/>
      <c r="CX180" s="10"/>
      <c r="CY180" s="10"/>
      <c r="CZ180" s="10"/>
      <c r="DA180" s="10"/>
      <c r="DB180" s="10"/>
      <c r="DC180" s="10"/>
      <c r="DD180" s="10"/>
      <c r="DE180" s="10"/>
      <c r="DF180" s="10"/>
      <c r="DG180" s="10"/>
      <c r="DH180" s="10"/>
    </row>
    <row r="181" spans="1:112" ht="15.75" customHeight="1" x14ac:dyDescent="0.3">
      <c r="A181" s="13" t="s">
        <v>324</v>
      </c>
      <c r="B181" s="14">
        <v>45660</v>
      </c>
      <c r="C181" s="13" t="s">
        <v>148</v>
      </c>
      <c r="D181" s="13" t="s">
        <v>149</v>
      </c>
      <c r="E181" s="13" t="s">
        <v>118</v>
      </c>
      <c r="F181" s="13" t="s">
        <v>119</v>
      </c>
      <c r="G181" s="13" t="s">
        <v>20</v>
      </c>
      <c r="H181" s="13">
        <v>2</v>
      </c>
      <c r="I181" s="13">
        <v>89.99</v>
      </c>
      <c r="J181" s="13" t="s">
        <v>27</v>
      </c>
      <c r="K181" s="13" t="s">
        <v>36</v>
      </c>
      <c r="L181" s="13" t="s">
        <v>28</v>
      </c>
      <c r="M181" s="14">
        <v>44564</v>
      </c>
      <c r="N181" s="13">
        <v>179.98</v>
      </c>
      <c r="O181" s="10"/>
      <c r="P181" s="13"/>
      <c r="Q181" s="10"/>
      <c r="R181" s="17">
        <f t="shared" ca="1" si="8"/>
        <v>1608</v>
      </c>
      <c r="S181" s="43">
        <f t="shared" si="6"/>
        <v>45688</v>
      </c>
      <c r="T181" s="44" t="str">
        <f t="shared" si="7"/>
        <v>Sou</v>
      </c>
      <c r="U181" s="13"/>
      <c r="V181" s="10"/>
      <c r="W181" s="10"/>
      <c r="X181" s="10"/>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0"/>
      <c r="BC181" s="10"/>
      <c r="BD181" s="10"/>
      <c r="BE181" s="10"/>
      <c r="BF181" s="10"/>
      <c r="BG181" s="10"/>
      <c r="BH181" s="10"/>
      <c r="BI181" s="10"/>
      <c r="BJ181" s="10"/>
      <c r="BK181" s="10"/>
      <c r="BL181" s="10"/>
      <c r="BM181" s="10"/>
      <c r="BN181" s="10"/>
      <c r="BO181" s="10"/>
      <c r="BP181" s="10"/>
      <c r="BQ181" s="10"/>
      <c r="BR181" s="10"/>
      <c r="BS181" s="10"/>
      <c r="BT181" s="10"/>
      <c r="BU181" s="10"/>
      <c r="BV181" s="10"/>
      <c r="BW181" s="10"/>
      <c r="BX181" s="10"/>
      <c r="BY181" s="10"/>
      <c r="BZ181" s="10"/>
      <c r="CA181" s="10"/>
      <c r="CB181" s="10"/>
      <c r="CC181" s="10"/>
      <c r="CD181" s="10"/>
      <c r="CE181" s="10"/>
      <c r="CF181" s="10"/>
      <c r="CG181" s="10"/>
      <c r="CH181" s="10"/>
      <c r="CI181" s="10"/>
      <c r="CJ181" s="10"/>
      <c r="CK181" s="10"/>
      <c r="CL181" s="10"/>
      <c r="CM181" s="10"/>
      <c r="CN181" s="10"/>
      <c r="CO181" s="10"/>
      <c r="CP181" s="10"/>
      <c r="CQ181" s="10"/>
      <c r="CR181" s="10"/>
      <c r="CS181" s="10"/>
      <c r="CT181" s="10"/>
      <c r="CU181" s="10"/>
      <c r="CV181" s="10"/>
      <c r="CW181" s="10"/>
      <c r="CX181" s="10"/>
      <c r="CY181" s="10"/>
      <c r="CZ181" s="10"/>
      <c r="DA181" s="10"/>
      <c r="DB181" s="10"/>
      <c r="DC181" s="10"/>
      <c r="DD181" s="10"/>
      <c r="DE181" s="10"/>
      <c r="DF181" s="10"/>
      <c r="DG181" s="10"/>
      <c r="DH181" s="10"/>
    </row>
    <row r="182" spans="1:112" ht="15.75" customHeight="1" x14ac:dyDescent="0.3">
      <c r="A182" s="13" t="s">
        <v>325</v>
      </c>
      <c r="B182" s="14">
        <v>45661</v>
      </c>
      <c r="C182" s="13" t="s">
        <v>326</v>
      </c>
      <c r="D182" s="13" t="s">
        <v>327</v>
      </c>
      <c r="E182" s="13" t="s">
        <v>62</v>
      </c>
      <c r="F182" s="13" t="s">
        <v>63</v>
      </c>
      <c r="G182" s="13" t="s">
        <v>20</v>
      </c>
      <c r="H182" s="13">
        <v>1</v>
      </c>
      <c r="I182" s="13">
        <v>899.99</v>
      </c>
      <c r="J182" s="13" t="s">
        <v>35</v>
      </c>
      <c r="K182" s="13" t="s">
        <v>41</v>
      </c>
      <c r="L182" s="13" t="s">
        <v>37</v>
      </c>
      <c r="M182" s="14">
        <v>44752</v>
      </c>
      <c r="N182" s="13">
        <v>899.99</v>
      </c>
      <c r="O182" s="10"/>
      <c r="P182" s="13"/>
      <c r="Q182" s="10"/>
      <c r="R182" s="17">
        <f t="shared" ca="1" si="8"/>
        <v>1420</v>
      </c>
      <c r="S182" s="43">
        <f t="shared" si="6"/>
        <v>45688</v>
      </c>
      <c r="T182" s="44" t="str">
        <f t="shared" si="7"/>
        <v>Nor</v>
      </c>
      <c r="U182" s="13"/>
      <c r="V182" s="10"/>
      <c r="W182" s="10"/>
      <c r="X182" s="10"/>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0"/>
      <c r="BC182" s="10"/>
      <c r="BD182" s="10"/>
      <c r="BE182" s="10"/>
      <c r="BF182" s="10"/>
      <c r="BG182" s="10"/>
      <c r="BH182" s="10"/>
      <c r="BI182" s="10"/>
      <c r="BJ182" s="10"/>
      <c r="BK182" s="10"/>
      <c r="BL182" s="10"/>
      <c r="BM182" s="10"/>
      <c r="BN182" s="10"/>
      <c r="BO182" s="10"/>
      <c r="BP182" s="10"/>
      <c r="BQ182" s="10"/>
      <c r="BR182" s="10"/>
      <c r="BS182" s="10"/>
      <c r="BT182" s="10"/>
      <c r="BU182" s="10"/>
      <c r="BV182" s="10"/>
      <c r="BW182" s="10"/>
      <c r="BX182" s="10"/>
      <c r="BY182" s="10"/>
      <c r="BZ182" s="10"/>
      <c r="CA182" s="10"/>
      <c r="CB182" s="10"/>
      <c r="CC182" s="10"/>
      <c r="CD182" s="10"/>
      <c r="CE182" s="10"/>
      <c r="CF182" s="10"/>
      <c r="CG182" s="10"/>
      <c r="CH182" s="10"/>
      <c r="CI182" s="10"/>
      <c r="CJ182" s="10"/>
      <c r="CK182" s="10"/>
      <c r="CL182" s="10"/>
      <c r="CM182" s="10"/>
      <c r="CN182" s="10"/>
      <c r="CO182" s="10"/>
      <c r="CP182" s="10"/>
      <c r="CQ182" s="10"/>
      <c r="CR182" s="10"/>
      <c r="CS182" s="10"/>
      <c r="CT182" s="10"/>
      <c r="CU182" s="10"/>
      <c r="CV182" s="10"/>
      <c r="CW182" s="10"/>
      <c r="CX182" s="10"/>
      <c r="CY182" s="10"/>
      <c r="CZ182" s="10"/>
      <c r="DA182" s="10"/>
      <c r="DB182" s="10"/>
      <c r="DC182" s="10"/>
      <c r="DD182" s="10"/>
      <c r="DE182" s="10"/>
      <c r="DF182" s="10"/>
      <c r="DG182" s="10"/>
      <c r="DH182" s="10"/>
    </row>
    <row r="183" spans="1:112" ht="15.75" customHeight="1" x14ac:dyDescent="0.3">
      <c r="A183" s="13" t="s">
        <v>328</v>
      </c>
      <c r="B183" s="14">
        <v>45663</v>
      </c>
      <c r="C183" s="13" t="s">
        <v>130</v>
      </c>
      <c r="D183" s="13" t="s">
        <v>131</v>
      </c>
      <c r="E183" s="13" t="s">
        <v>53</v>
      </c>
      <c r="F183" s="13" t="s">
        <v>54</v>
      </c>
      <c r="G183" s="13" t="s">
        <v>20</v>
      </c>
      <c r="H183" s="13">
        <v>5</v>
      </c>
      <c r="I183" s="13">
        <v>149.99</v>
      </c>
      <c r="J183" s="13" t="s">
        <v>35</v>
      </c>
      <c r="K183" s="13" t="s">
        <v>64</v>
      </c>
      <c r="L183" s="13" t="s">
        <v>28</v>
      </c>
      <c r="M183" s="14">
        <v>44824</v>
      </c>
      <c r="N183" s="13">
        <v>749.95</v>
      </c>
      <c r="O183" s="10"/>
      <c r="P183" s="13"/>
      <c r="Q183" s="10"/>
      <c r="R183" s="17">
        <f t="shared" ca="1" si="8"/>
        <v>1348</v>
      </c>
      <c r="S183" s="43">
        <f t="shared" si="6"/>
        <v>45688</v>
      </c>
      <c r="T183" s="44" t="str">
        <f t="shared" si="7"/>
        <v>Eas</v>
      </c>
      <c r="U183" s="13"/>
      <c r="V183" s="10"/>
      <c r="W183" s="10"/>
      <c r="X183" s="10"/>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0"/>
      <c r="BC183" s="10"/>
      <c r="BD183" s="10"/>
      <c r="BE183" s="10"/>
      <c r="BF183" s="10"/>
      <c r="BG183" s="10"/>
      <c r="BH183" s="10"/>
      <c r="BI183" s="10"/>
      <c r="BJ183" s="10"/>
      <c r="BK183" s="10"/>
      <c r="BL183" s="10"/>
      <c r="BM183" s="10"/>
      <c r="BN183" s="10"/>
      <c r="BO183" s="10"/>
      <c r="BP183" s="10"/>
      <c r="BQ183" s="10"/>
      <c r="BR183" s="10"/>
      <c r="BS183" s="10"/>
      <c r="BT183" s="10"/>
      <c r="BU183" s="10"/>
      <c r="BV183" s="10"/>
      <c r="BW183" s="10"/>
      <c r="BX183" s="10"/>
      <c r="BY183" s="10"/>
      <c r="BZ183" s="10"/>
      <c r="CA183" s="10"/>
      <c r="CB183" s="10"/>
      <c r="CC183" s="10"/>
      <c r="CD183" s="10"/>
      <c r="CE183" s="10"/>
      <c r="CF183" s="10"/>
      <c r="CG183" s="10"/>
      <c r="CH183" s="10"/>
      <c r="CI183" s="10"/>
      <c r="CJ183" s="10"/>
      <c r="CK183" s="10"/>
      <c r="CL183" s="10"/>
      <c r="CM183" s="10"/>
      <c r="CN183" s="10"/>
      <c r="CO183" s="10"/>
      <c r="CP183" s="10"/>
      <c r="CQ183" s="10"/>
      <c r="CR183" s="10"/>
      <c r="CS183" s="10"/>
      <c r="CT183" s="10"/>
      <c r="CU183" s="10"/>
      <c r="CV183" s="10"/>
      <c r="CW183" s="10"/>
      <c r="CX183" s="10"/>
      <c r="CY183" s="10"/>
      <c r="CZ183" s="10"/>
      <c r="DA183" s="10"/>
      <c r="DB183" s="10"/>
      <c r="DC183" s="10"/>
      <c r="DD183" s="10"/>
      <c r="DE183" s="10"/>
      <c r="DF183" s="10"/>
      <c r="DG183" s="10"/>
      <c r="DH183" s="10"/>
    </row>
    <row r="184" spans="1:112" ht="15.75" customHeight="1" x14ac:dyDescent="0.3">
      <c r="A184" s="13" t="s">
        <v>329</v>
      </c>
      <c r="B184" s="14">
        <v>45663</v>
      </c>
      <c r="C184" s="13" t="s">
        <v>43</v>
      </c>
      <c r="D184" s="13" t="s">
        <v>44</v>
      </c>
      <c r="E184" s="13" t="s">
        <v>106</v>
      </c>
      <c r="F184" s="13" t="s">
        <v>107</v>
      </c>
      <c r="G184" s="13" t="s">
        <v>47</v>
      </c>
      <c r="H184" s="13">
        <v>3</v>
      </c>
      <c r="I184" s="13">
        <v>299.99</v>
      </c>
      <c r="J184" s="13" t="s">
        <v>21</v>
      </c>
      <c r="K184" s="13" t="s">
        <v>36</v>
      </c>
      <c r="L184" s="13" t="s">
        <v>37</v>
      </c>
      <c r="M184" s="14">
        <v>44422</v>
      </c>
      <c r="N184" s="13">
        <v>899.97</v>
      </c>
      <c r="O184" s="10"/>
      <c r="P184" s="13"/>
      <c r="Q184" s="10"/>
      <c r="R184" s="17">
        <f t="shared" ca="1" si="8"/>
        <v>1750</v>
      </c>
      <c r="S184" s="43">
        <f t="shared" si="6"/>
        <v>45688</v>
      </c>
      <c r="T184" s="44" t="str">
        <f t="shared" si="7"/>
        <v>Sou</v>
      </c>
      <c r="U184" s="13"/>
      <c r="V184" s="10"/>
      <c r="W184" s="10"/>
      <c r="X184" s="10"/>
      <c r="Y184" s="10"/>
      <c r="Z184" s="10"/>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0"/>
      <c r="BC184" s="10"/>
      <c r="BD184" s="10"/>
      <c r="BE184" s="10"/>
      <c r="BF184" s="10"/>
      <c r="BG184" s="10"/>
      <c r="BH184" s="10"/>
      <c r="BI184" s="10"/>
      <c r="BJ184" s="10"/>
      <c r="BK184" s="10"/>
      <c r="BL184" s="10"/>
      <c r="BM184" s="10"/>
      <c r="BN184" s="10"/>
      <c r="BO184" s="10"/>
      <c r="BP184" s="10"/>
      <c r="BQ184" s="10"/>
      <c r="BR184" s="10"/>
      <c r="BS184" s="10"/>
      <c r="BT184" s="10"/>
      <c r="BU184" s="10"/>
      <c r="BV184" s="10"/>
      <c r="BW184" s="10"/>
      <c r="BX184" s="10"/>
      <c r="BY184" s="10"/>
      <c r="BZ184" s="10"/>
      <c r="CA184" s="10"/>
      <c r="CB184" s="10"/>
      <c r="CC184" s="10"/>
      <c r="CD184" s="10"/>
      <c r="CE184" s="10"/>
      <c r="CF184" s="10"/>
      <c r="CG184" s="10"/>
      <c r="CH184" s="10"/>
      <c r="CI184" s="10"/>
      <c r="CJ184" s="10"/>
      <c r="CK184" s="10"/>
      <c r="CL184" s="10"/>
      <c r="CM184" s="10"/>
      <c r="CN184" s="10"/>
      <c r="CO184" s="10"/>
      <c r="CP184" s="10"/>
      <c r="CQ184" s="10"/>
      <c r="CR184" s="10"/>
      <c r="CS184" s="10"/>
      <c r="CT184" s="10"/>
      <c r="CU184" s="10"/>
      <c r="CV184" s="10"/>
      <c r="CW184" s="10"/>
      <c r="CX184" s="10"/>
      <c r="CY184" s="10"/>
      <c r="CZ184" s="10"/>
      <c r="DA184" s="10"/>
      <c r="DB184" s="10"/>
      <c r="DC184" s="10"/>
      <c r="DD184" s="10"/>
      <c r="DE184" s="10"/>
      <c r="DF184" s="10"/>
      <c r="DG184" s="10"/>
      <c r="DH184" s="10"/>
    </row>
    <row r="185" spans="1:112" ht="15.75" customHeight="1" x14ac:dyDescent="0.3">
      <c r="A185" s="13" t="s">
        <v>330</v>
      </c>
      <c r="B185" s="14">
        <v>45666</v>
      </c>
      <c r="C185" s="13" t="s">
        <v>66</v>
      </c>
      <c r="D185" s="13" t="s">
        <v>67</v>
      </c>
      <c r="E185" s="13" t="s">
        <v>81</v>
      </c>
      <c r="F185" s="13" t="s">
        <v>82</v>
      </c>
      <c r="G185" s="13" t="s">
        <v>20</v>
      </c>
      <c r="H185" s="13">
        <v>3</v>
      </c>
      <c r="I185" s="13">
        <v>699.99</v>
      </c>
      <c r="J185" s="13" t="s">
        <v>27</v>
      </c>
      <c r="K185" s="13" t="s">
        <v>22</v>
      </c>
      <c r="L185" s="13" t="s">
        <v>28</v>
      </c>
      <c r="M185" s="14">
        <v>45105</v>
      </c>
      <c r="N185" s="13">
        <v>2099.9699999999998</v>
      </c>
      <c r="O185" s="10"/>
      <c r="P185" s="13"/>
      <c r="Q185" s="10"/>
      <c r="R185" s="17">
        <f t="shared" ca="1" si="8"/>
        <v>1067</v>
      </c>
      <c r="S185" s="43">
        <f t="shared" si="6"/>
        <v>45688</v>
      </c>
      <c r="T185" s="44" t="str">
        <f t="shared" si="7"/>
        <v>Cen</v>
      </c>
      <c r="U185" s="13"/>
      <c r="V185" s="10"/>
      <c r="W185" s="10"/>
      <c r="X185" s="10"/>
      <c r="Y185" s="10"/>
      <c r="Z185" s="10"/>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0"/>
      <c r="BC185" s="10"/>
      <c r="BD185" s="10"/>
      <c r="BE185" s="10"/>
      <c r="BF185" s="10"/>
      <c r="BG185" s="10"/>
      <c r="BH185" s="10"/>
      <c r="BI185" s="10"/>
      <c r="BJ185" s="10"/>
      <c r="BK185" s="10"/>
      <c r="BL185" s="10"/>
      <c r="BM185" s="10"/>
      <c r="BN185" s="10"/>
      <c r="BO185" s="10"/>
      <c r="BP185" s="10"/>
      <c r="BQ185" s="10"/>
      <c r="BR185" s="10"/>
      <c r="BS185" s="10"/>
      <c r="BT185" s="10"/>
      <c r="BU185" s="10"/>
      <c r="BV185" s="10"/>
      <c r="BW185" s="10"/>
      <c r="BX185" s="10"/>
      <c r="BY185" s="10"/>
      <c r="BZ185" s="10"/>
      <c r="CA185" s="10"/>
      <c r="CB185" s="10"/>
      <c r="CC185" s="10"/>
      <c r="CD185" s="10"/>
      <c r="CE185" s="10"/>
      <c r="CF185" s="10"/>
      <c r="CG185" s="10"/>
      <c r="CH185" s="10"/>
      <c r="CI185" s="10"/>
      <c r="CJ185" s="10"/>
      <c r="CK185" s="10"/>
      <c r="CL185" s="10"/>
      <c r="CM185" s="10"/>
      <c r="CN185" s="10"/>
      <c r="CO185" s="10"/>
      <c r="CP185" s="10"/>
      <c r="CQ185" s="10"/>
      <c r="CR185" s="10"/>
      <c r="CS185" s="10"/>
      <c r="CT185" s="10"/>
      <c r="CU185" s="10"/>
      <c r="CV185" s="10"/>
      <c r="CW185" s="10"/>
      <c r="CX185" s="10"/>
      <c r="CY185" s="10"/>
      <c r="CZ185" s="10"/>
      <c r="DA185" s="10"/>
      <c r="DB185" s="10"/>
      <c r="DC185" s="10"/>
      <c r="DD185" s="10"/>
      <c r="DE185" s="10"/>
      <c r="DF185" s="10"/>
      <c r="DG185" s="10"/>
      <c r="DH185" s="10"/>
    </row>
    <row r="186" spans="1:112" ht="15.75" customHeight="1" x14ac:dyDescent="0.3">
      <c r="A186" s="13" t="s">
        <v>331</v>
      </c>
      <c r="B186" s="14">
        <v>45667</v>
      </c>
      <c r="C186" s="13" t="s">
        <v>109</v>
      </c>
      <c r="D186" s="13" t="s">
        <v>110</v>
      </c>
      <c r="E186" s="13" t="s">
        <v>127</v>
      </c>
      <c r="F186" s="13" t="s">
        <v>128</v>
      </c>
      <c r="G186" s="13" t="s">
        <v>47</v>
      </c>
      <c r="H186" s="13">
        <v>5</v>
      </c>
      <c r="I186" s="13">
        <v>199.99</v>
      </c>
      <c r="J186" s="13" t="s">
        <v>35</v>
      </c>
      <c r="K186" s="13" t="s">
        <v>22</v>
      </c>
      <c r="L186" s="13" t="s">
        <v>37</v>
      </c>
      <c r="M186" s="14">
        <v>44633</v>
      </c>
      <c r="N186" s="13">
        <v>999.95</v>
      </c>
      <c r="O186" s="10"/>
      <c r="P186" s="13"/>
      <c r="Q186" s="10"/>
      <c r="R186" s="17">
        <f t="shared" ca="1" si="8"/>
        <v>1539</v>
      </c>
      <c r="S186" s="43">
        <f t="shared" si="6"/>
        <v>45688</v>
      </c>
      <c r="T186" s="44" t="str">
        <f t="shared" si="7"/>
        <v>Cen</v>
      </c>
      <c r="U186" s="13"/>
      <c r="V186" s="10"/>
      <c r="W186" s="10"/>
      <c r="X186" s="10"/>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0"/>
      <c r="BC186" s="10"/>
      <c r="BD186" s="10"/>
      <c r="BE186" s="10"/>
      <c r="BF186" s="10"/>
      <c r="BG186" s="10"/>
      <c r="BH186" s="10"/>
      <c r="BI186" s="10"/>
      <c r="BJ186" s="10"/>
      <c r="BK186" s="10"/>
      <c r="BL186" s="10"/>
      <c r="BM186" s="10"/>
      <c r="BN186" s="10"/>
      <c r="BO186" s="10"/>
      <c r="BP186" s="10"/>
      <c r="BQ186" s="10"/>
      <c r="BR186" s="10"/>
      <c r="BS186" s="10"/>
      <c r="BT186" s="10"/>
      <c r="BU186" s="10"/>
      <c r="BV186" s="10"/>
      <c r="BW186" s="10"/>
      <c r="BX186" s="10"/>
      <c r="BY186" s="10"/>
      <c r="BZ186" s="10"/>
      <c r="CA186" s="10"/>
      <c r="CB186" s="10"/>
      <c r="CC186" s="10"/>
      <c r="CD186" s="10"/>
      <c r="CE186" s="10"/>
      <c r="CF186" s="10"/>
      <c r="CG186" s="10"/>
      <c r="CH186" s="10"/>
      <c r="CI186" s="10"/>
      <c r="CJ186" s="10"/>
      <c r="CK186" s="10"/>
      <c r="CL186" s="10"/>
      <c r="CM186" s="10"/>
      <c r="CN186" s="10"/>
      <c r="CO186" s="10"/>
      <c r="CP186" s="10"/>
      <c r="CQ186" s="10"/>
      <c r="CR186" s="10"/>
      <c r="CS186" s="10"/>
      <c r="CT186" s="10"/>
      <c r="CU186" s="10"/>
      <c r="CV186" s="10"/>
      <c r="CW186" s="10"/>
      <c r="CX186" s="10"/>
      <c r="CY186" s="10"/>
      <c r="CZ186" s="10"/>
      <c r="DA186" s="10"/>
      <c r="DB186" s="10"/>
      <c r="DC186" s="10"/>
      <c r="DD186" s="10"/>
      <c r="DE186" s="10"/>
      <c r="DF186" s="10"/>
      <c r="DG186" s="10"/>
      <c r="DH186" s="10"/>
    </row>
    <row r="187" spans="1:112" ht="15.75" customHeight="1" x14ac:dyDescent="0.3">
      <c r="A187" s="13" t="s">
        <v>332</v>
      </c>
      <c r="B187" s="14">
        <v>45667</v>
      </c>
      <c r="C187" s="13" t="s">
        <v>94</v>
      </c>
      <c r="D187" s="13" t="s">
        <v>95</v>
      </c>
      <c r="E187" s="13" t="s">
        <v>18</v>
      </c>
      <c r="F187" s="13" t="s">
        <v>19</v>
      </c>
      <c r="G187" s="13" t="s">
        <v>20</v>
      </c>
      <c r="H187" s="13">
        <v>5</v>
      </c>
      <c r="I187" s="13">
        <v>249.99</v>
      </c>
      <c r="J187" s="13" t="s">
        <v>27</v>
      </c>
      <c r="K187" s="13" t="s">
        <v>36</v>
      </c>
      <c r="L187" s="13" t="s">
        <v>23</v>
      </c>
      <c r="M187" s="14">
        <v>45330</v>
      </c>
      <c r="N187" s="13">
        <v>1249.95</v>
      </c>
      <c r="O187" s="10"/>
      <c r="P187" s="13"/>
      <c r="Q187" s="10"/>
      <c r="R187" s="17">
        <f t="shared" ca="1" si="8"/>
        <v>842</v>
      </c>
      <c r="S187" s="43">
        <f t="shared" si="6"/>
        <v>45688</v>
      </c>
      <c r="T187" s="44" t="str">
        <f t="shared" si="7"/>
        <v>Sou</v>
      </c>
      <c r="U187" s="13"/>
      <c r="V187" s="10"/>
      <c r="W187" s="10"/>
      <c r="X187" s="10"/>
      <c r="Y187" s="10"/>
      <c r="Z187" s="10"/>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0"/>
      <c r="BC187" s="10"/>
      <c r="BD187" s="10"/>
      <c r="BE187" s="10"/>
      <c r="BF187" s="10"/>
      <c r="BG187" s="10"/>
      <c r="BH187" s="10"/>
      <c r="BI187" s="10"/>
      <c r="BJ187" s="10"/>
      <c r="BK187" s="10"/>
      <c r="BL187" s="10"/>
      <c r="BM187" s="10"/>
      <c r="BN187" s="10"/>
      <c r="BO187" s="10"/>
      <c r="BP187" s="10"/>
      <c r="BQ187" s="10"/>
      <c r="BR187" s="10"/>
      <c r="BS187" s="10"/>
      <c r="BT187" s="10"/>
      <c r="BU187" s="10"/>
      <c r="BV187" s="10"/>
      <c r="BW187" s="10"/>
      <c r="BX187" s="10"/>
      <c r="BY187" s="10"/>
      <c r="BZ187" s="10"/>
      <c r="CA187" s="10"/>
      <c r="CB187" s="10"/>
      <c r="CC187" s="10"/>
      <c r="CD187" s="10"/>
      <c r="CE187" s="10"/>
      <c r="CF187" s="10"/>
      <c r="CG187" s="10"/>
      <c r="CH187" s="10"/>
      <c r="CI187" s="10"/>
      <c r="CJ187" s="10"/>
      <c r="CK187" s="10"/>
      <c r="CL187" s="10"/>
      <c r="CM187" s="10"/>
      <c r="CN187" s="10"/>
      <c r="CO187" s="10"/>
      <c r="CP187" s="10"/>
      <c r="CQ187" s="10"/>
      <c r="CR187" s="10"/>
      <c r="CS187" s="10"/>
      <c r="CT187" s="10"/>
      <c r="CU187" s="10"/>
      <c r="CV187" s="10"/>
      <c r="CW187" s="10"/>
      <c r="CX187" s="10"/>
      <c r="CY187" s="10"/>
      <c r="CZ187" s="10"/>
      <c r="DA187" s="10"/>
      <c r="DB187" s="10"/>
      <c r="DC187" s="10"/>
      <c r="DD187" s="10"/>
      <c r="DE187" s="10"/>
      <c r="DF187" s="10"/>
      <c r="DG187" s="10"/>
      <c r="DH187" s="10"/>
    </row>
    <row r="188" spans="1:112" ht="15.75" customHeight="1" x14ac:dyDescent="0.3">
      <c r="A188" s="13" t="s">
        <v>333</v>
      </c>
      <c r="B188" s="14">
        <v>45668</v>
      </c>
      <c r="C188" s="13" t="s">
        <v>139</v>
      </c>
      <c r="D188" s="13" t="s">
        <v>140</v>
      </c>
      <c r="E188" s="13" t="s">
        <v>53</v>
      </c>
      <c r="F188" s="13" t="s">
        <v>54</v>
      </c>
      <c r="G188" s="13" t="s">
        <v>20</v>
      </c>
      <c r="H188" s="13">
        <v>4</v>
      </c>
      <c r="I188" s="13">
        <v>149.99</v>
      </c>
      <c r="J188" s="13" t="s">
        <v>58</v>
      </c>
      <c r="K188" s="13" t="s">
        <v>64</v>
      </c>
      <c r="L188" s="13" t="s">
        <v>37</v>
      </c>
      <c r="M188" s="14">
        <v>44536</v>
      </c>
      <c r="N188" s="13">
        <v>599.96</v>
      </c>
      <c r="O188" s="10"/>
      <c r="P188" s="13"/>
      <c r="Q188" s="10"/>
      <c r="R188" s="17">
        <f t="shared" ca="1" si="8"/>
        <v>1636</v>
      </c>
      <c r="S188" s="43">
        <f t="shared" si="6"/>
        <v>45688</v>
      </c>
      <c r="T188" s="44" t="str">
        <f t="shared" si="7"/>
        <v>Eas</v>
      </c>
      <c r="U188" s="13"/>
      <c r="V188" s="10"/>
      <c r="W188" s="10"/>
      <c r="X188" s="10"/>
      <c r="Y188" s="10"/>
      <c r="Z188" s="10"/>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0"/>
      <c r="BC188" s="10"/>
      <c r="BD188" s="10"/>
      <c r="BE188" s="10"/>
      <c r="BF188" s="10"/>
      <c r="BG188" s="10"/>
      <c r="BH188" s="10"/>
      <c r="BI188" s="10"/>
      <c r="BJ188" s="10"/>
      <c r="BK188" s="10"/>
      <c r="BL188" s="10"/>
      <c r="BM188" s="10"/>
      <c r="BN188" s="10"/>
      <c r="BO188" s="10"/>
      <c r="BP188" s="10"/>
      <c r="BQ188" s="10"/>
      <c r="BR188" s="10"/>
      <c r="BS188" s="10"/>
      <c r="BT188" s="10"/>
      <c r="BU188" s="10"/>
      <c r="BV188" s="10"/>
      <c r="BW188" s="10"/>
      <c r="BX188" s="10"/>
      <c r="BY188" s="10"/>
      <c r="BZ188" s="10"/>
      <c r="CA188" s="10"/>
      <c r="CB188" s="10"/>
      <c r="CC188" s="10"/>
      <c r="CD188" s="10"/>
      <c r="CE188" s="10"/>
      <c r="CF188" s="10"/>
      <c r="CG188" s="10"/>
      <c r="CH188" s="10"/>
      <c r="CI188" s="10"/>
      <c r="CJ188" s="10"/>
      <c r="CK188" s="10"/>
      <c r="CL188" s="10"/>
      <c r="CM188" s="10"/>
      <c r="CN188" s="10"/>
      <c r="CO188" s="10"/>
      <c r="CP188" s="10"/>
      <c r="CQ188" s="10"/>
      <c r="CR188" s="10"/>
      <c r="CS188" s="10"/>
      <c r="CT188" s="10"/>
      <c r="CU188" s="10"/>
      <c r="CV188" s="10"/>
      <c r="CW188" s="10"/>
      <c r="CX188" s="10"/>
      <c r="CY188" s="10"/>
      <c r="CZ188" s="10"/>
      <c r="DA188" s="10"/>
      <c r="DB188" s="10"/>
      <c r="DC188" s="10"/>
      <c r="DD188" s="10"/>
      <c r="DE188" s="10"/>
      <c r="DF188" s="10"/>
      <c r="DG188" s="10"/>
      <c r="DH188" s="10"/>
    </row>
    <row r="189" spans="1:112" ht="15.75" customHeight="1" x14ac:dyDescent="0.3">
      <c r="A189" s="13" t="s">
        <v>334</v>
      </c>
      <c r="B189" s="14">
        <v>45668</v>
      </c>
      <c r="C189" s="13" t="s">
        <v>79</v>
      </c>
      <c r="D189" s="13" t="s">
        <v>80</v>
      </c>
      <c r="E189" s="13" t="s">
        <v>81</v>
      </c>
      <c r="F189" s="13" t="s">
        <v>82</v>
      </c>
      <c r="G189" s="13" t="s">
        <v>20</v>
      </c>
      <c r="H189" s="13">
        <v>3</v>
      </c>
      <c r="I189" s="13">
        <v>699.99</v>
      </c>
      <c r="J189" s="13" t="s">
        <v>21</v>
      </c>
      <c r="K189" s="13" t="s">
        <v>41</v>
      </c>
      <c r="L189" s="13" t="s">
        <v>28</v>
      </c>
      <c r="M189" s="14">
        <v>44602</v>
      </c>
      <c r="N189" s="13">
        <v>2099.9699999999998</v>
      </c>
      <c r="O189" s="10"/>
      <c r="P189" s="13"/>
      <c r="Q189" s="10"/>
      <c r="R189" s="17">
        <f t="shared" ca="1" si="8"/>
        <v>1570</v>
      </c>
      <c r="S189" s="43">
        <f t="shared" si="6"/>
        <v>45688</v>
      </c>
      <c r="T189" s="44" t="str">
        <f t="shared" si="7"/>
        <v>Nor</v>
      </c>
      <c r="U189" s="13"/>
      <c r="V189" s="10"/>
      <c r="W189" s="10"/>
      <c r="X189" s="10"/>
      <c r="Y189" s="10"/>
      <c r="Z189" s="10"/>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0"/>
      <c r="BC189" s="10"/>
      <c r="BD189" s="10"/>
      <c r="BE189" s="10"/>
      <c r="BF189" s="10"/>
      <c r="BG189" s="10"/>
      <c r="BH189" s="10"/>
      <c r="BI189" s="10"/>
      <c r="BJ189" s="10"/>
      <c r="BK189" s="10"/>
      <c r="BL189" s="10"/>
      <c r="BM189" s="10"/>
      <c r="BN189" s="10"/>
      <c r="BO189" s="10"/>
      <c r="BP189" s="10"/>
      <c r="BQ189" s="10"/>
      <c r="BR189" s="10"/>
      <c r="BS189" s="10"/>
      <c r="BT189" s="10"/>
      <c r="BU189" s="10"/>
      <c r="BV189" s="10"/>
      <c r="BW189" s="10"/>
      <c r="BX189" s="10"/>
      <c r="BY189" s="10"/>
      <c r="BZ189" s="10"/>
      <c r="CA189" s="10"/>
      <c r="CB189" s="10"/>
      <c r="CC189" s="10"/>
      <c r="CD189" s="10"/>
      <c r="CE189" s="10"/>
      <c r="CF189" s="10"/>
      <c r="CG189" s="10"/>
      <c r="CH189" s="10"/>
      <c r="CI189" s="10"/>
      <c r="CJ189" s="10"/>
      <c r="CK189" s="10"/>
      <c r="CL189" s="10"/>
      <c r="CM189" s="10"/>
      <c r="CN189" s="10"/>
      <c r="CO189" s="10"/>
      <c r="CP189" s="10"/>
      <c r="CQ189" s="10"/>
      <c r="CR189" s="10"/>
      <c r="CS189" s="10"/>
      <c r="CT189" s="10"/>
      <c r="CU189" s="10"/>
      <c r="CV189" s="10"/>
      <c r="CW189" s="10"/>
      <c r="CX189" s="10"/>
      <c r="CY189" s="10"/>
      <c r="CZ189" s="10"/>
      <c r="DA189" s="10"/>
      <c r="DB189" s="10"/>
      <c r="DC189" s="10"/>
      <c r="DD189" s="10"/>
      <c r="DE189" s="10"/>
      <c r="DF189" s="10"/>
      <c r="DG189" s="10"/>
      <c r="DH189" s="10"/>
    </row>
    <row r="190" spans="1:112" ht="15.75" customHeight="1" x14ac:dyDescent="0.3">
      <c r="A190" s="13" t="s">
        <v>335</v>
      </c>
      <c r="B190" s="14">
        <v>45670</v>
      </c>
      <c r="C190" s="13" t="s">
        <v>294</v>
      </c>
      <c r="D190" s="13" t="s">
        <v>295</v>
      </c>
      <c r="E190" s="13" t="s">
        <v>115</v>
      </c>
      <c r="F190" s="13" t="s">
        <v>116</v>
      </c>
      <c r="G190" s="13" t="s">
        <v>34</v>
      </c>
      <c r="H190" s="13">
        <v>1</v>
      </c>
      <c r="I190" s="13">
        <v>79.989999999999995</v>
      </c>
      <c r="J190" s="13" t="s">
        <v>27</v>
      </c>
      <c r="K190" s="13" t="s">
        <v>36</v>
      </c>
      <c r="L190" s="13" t="s">
        <v>23</v>
      </c>
      <c r="M190" s="14">
        <v>45322</v>
      </c>
      <c r="N190" s="13">
        <v>79.989999999999995</v>
      </c>
      <c r="O190" s="10"/>
      <c r="P190" s="13"/>
      <c r="Q190" s="10"/>
      <c r="R190" s="17">
        <f t="shared" ca="1" si="8"/>
        <v>850</v>
      </c>
      <c r="S190" s="43">
        <f t="shared" si="6"/>
        <v>45688</v>
      </c>
      <c r="T190" s="44" t="str">
        <f t="shared" si="7"/>
        <v>Sou</v>
      </c>
      <c r="U190" s="13"/>
      <c r="V190" s="10"/>
      <c r="W190" s="10"/>
      <c r="X190" s="10"/>
      <c r="Y190" s="10"/>
      <c r="Z190" s="10"/>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0"/>
      <c r="BC190" s="10"/>
      <c r="BD190" s="10"/>
      <c r="BE190" s="10"/>
      <c r="BF190" s="10"/>
      <c r="BG190" s="10"/>
      <c r="BH190" s="10"/>
      <c r="BI190" s="10"/>
      <c r="BJ190" s="10"/>
      <c r="BK190" s="10"/>
      <c r="BL190" s="10"/>
      <c r="BM190" s="10"/>
      <c r="BN190" s="10"/>
      <c r="BO190" s="10"/>
      <c r="BP190" s="10"/>
      <c r="BQ190" s="10"/>
      <c r="BR190" s="10"/>
      <c r="BS190" s="10"/>
      <c r="BT190" s="10"/>
      <c r="BU190" s="10"/>
      <c r="BV190" s="10"/>
      <c r="BW190" s="10"/>
      <c r="BX190" s="10"/>
      <c r="BY190" s="10"/>
      <c r="BZ190" s="10"/>
      <c r="CA190" s="10"/>
      <c r="CB190" s="10"/>
      <c r="CC190" s="10"/>
      <c r="CD190" s="10"/>
      <c r="CE190" s="10"/>
      <c r="CF190" s="10"/>
      <c r="CG190" s="10"/>
      <c r="CH190" s="10"/>
      <c r="CI190" s="10"/>
      <c r="CJ190" s="10"/>
      <c r="CK190" s="10"/>
      <c r="CL190" s="10"/>
      <c r="CM190" s="10"/>
      <c r="CN190" s="10"/>
      <c r="CO190" s="10"/>
      <c r="CP190" s="10"/>
      <c r="CQ190" s="10"/>
      <c r="CR190" s="10"/>
      <c r="CS190" s="10"/>
      <c r="CT190" s="10"/>
      <c r="CU190" s="10"/>
      <c r="CV190" s="10"/>
      <c r="CW190" s="10"/>
      <c r="CX190" s="10"/>
      <c r="CY190" s="10"/>
      <c r="CZ190" s="10"/>
      <c r="DA190" s="10"/>
      <c r="DB190" s="10"/>
      <c r="DC190" s="10"/>
      <c r="DD190" s="10"/>
      <c r="DE190" s="10"/>
      <c r="DF190" s="10"/>
      <c r="DG190" s="10"/>
      <c r="DH190" s="10"/>
    </row>
    <row r="191" spans="1:112" ht="15.75" customHeight="1" x14ac:dyDescent="0.3">
      <c r="A191" s="13" t="s">
        <v>336</v>
      </c>
      <c r="B191" s="14">
        <v>45670</v>
      </c>
      <c r="C191" s="13" t="s">
        <v>87</v>
      </c>
      <c r="D191" s="13" t="s">
        <v>88</v>
      </c>
      <c r="E191" s="13" t="s">
        <v>106</v>
      </c>
      <c r="F191" s="13" t="s">
        <v>107</v>
      </c>
      <c r="G191" s="13" t="s">
        <v>47</v>
      </c>
      <c r="H191" s="13">
        <v>1</v>
      </c>
      <c r="I191" s="13">
        <v>299.99</v>
      </c>
      <c r="J191" s="13" t="s">
        <v>27</v>
      </c>
      <c r="K191" s="13" t="s">
        <v>41</v>
      </c>
      <c r="L191" s="13" t="s">
        <v>23</v>
      </c>
      <c r="M191" s="14">
        <v>44436</v>
      </c>
      <c r="N191" s="13">
        <v>299.99</v>
      </c>
      <c r="O191" s="10"/>
      <c r="P191" s="13"/>
      <c r="Q191" s="10"/>
      <c r="R191" s="17">
        <f t="shared" ca="1" si="8"/>
        <v>1736</v>
      </c>
      <c r="S191" s="43">
        <f t="shared" si="6"/>
        <v>45688</v>
      </c>
      <c r="T191" s="44" t="str">
        <f t="shared" si="7"/>
        <v>Nor</v>
      </c>
      <c r="U191" s="13"/>
      <c r="V191" s="10"/>
      <c r="W191" s="10"/>
      <c r="X191" s="10"/>
      <c r="Y191" s="10"/>
      <c r="Z191" s="10"/>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0"/>
      <c r="BC191" s="10"/>
      <c r="BD191" s="10"/>
      <c r="BE191" s="10"/>
      <c r="BF191" s="10"/>
      <c r="BG191" s="10"/>
      <c r="BH191" s="10"/>
      <c r="BI191" s="10"/>
      <c r="BJ191" s="10"/>
      <c r="BK191" s="10"/>
      <c r="BL191" s="10"/>
      <c r="BM191" s="10"/>
      <c r="BN191" s="10"/>
      <c r="BO191" s="10"/>
      <c r="BP191" s="10"/>
      <c r="BQ191" s="10"/>
      <c r="BR191" s="10"/>
      <c r="BS191" s="10"/>
      <c r="BT191" s="10"/>
      <c r="BU191" s="10"/>
      <c r="BV191" s="10"/>
      <c r="BW191" s="10"/>
      <c r="BX191" s="10"/>
      <c r="BY191" s="10"/>
      <c r="BZ191" s="10"/>
      <c r="CA191" s="10"/>
      <c r="CB191" s="10"/>
      <c r="CC191" s="10"/>
      <c r="CD191" s="10"/>
      <c r="CE191" s="10"/>
      <c r="CF191" s="10"/>
      <c r="CG191" s="10"/>
      <c r="CH191" s="10"/>
      <c r="CI191" s="10"/>
      <c r="CJ191" s="10"/>
      <c r="CK191" s="10"/>
      <c r="CL191" s="10"/>
      <c r="CM191" s="10"/>
      <c r="CN191" s="10"/>
      <c r="CO191" s="10"/>
      <c r="CP191" s="10"/>
      <c r="CQ191" s="10"/>
      <c r="CR191" s="10"/>
      <c r="CS191" s="10"/>
      <c r="CT191" s="10"/>
      <c r="CU191" s="10"/>
      <c r="CV191" s="10"/>
      <c r="CW191" s="10"/>
      <c r="CX191" s="10"/>
      <c r="CY191" s="10"/>
      <c r="CZ191" s="10"/>
      <c r="DA191" s="10"/>
      <c r="DB191" s="10"/>
      <c r="DC191" s="10"/>
      <c r="DD191" s="10"/>
      <c r="DE191" s="10"/>
      <c r="DF191" s="10"/>
      <c r="DG191" s="10"/>
      <c r="DH191" s="10"/>
    </row>
    <row r="192" spans="1:112" ht="15.75" customHeight="1" x14ac:dyDescent="0.3">
      <c r="A192" s="13" t="s">
        <v>337</v>
      </c>
      <c r="B192" s="14">
        <v>45671</v>
      </c>
      <c r="C192" s="13" t="s">
        <v>159</v>
      </c>
      <c r="D192" s="13" t="s">
        <v>160</v>
      </c>
      <c r="E192" s="13" t="s">
        <v>18</v>
      </c>
      <c r="F192" s="13" t="s">
        <v>19</v>
      </c>
      <c r="G192" s="13" t="s">
        <v>20</v>
      </c>
      <c r="H192" s="13">
        <v>4</v>
      </c>
      <c r="I192" s="13">
        <v>249.99</v>
      </c>
      <c r="J192" s="13" t="s">
        <v>27</v>
      </c>
      <c r="K192" s="13" t="s">
        <v>41</v>
      </c>
      <c r="L192" s="13" t="s">
        <v>28</v>
      </c>
      <c r="M192" s="14">
        <v>44460</v>
      </c>
      <c r="N192" s="13">
        <v>999.96</v>
      </c>
      <c r="O192" s="10"/>
      <c r="P192" s="13"/>
      <c r="Q192" s="10"/>
      <c r="R192" s="17">
        <f t="shared" ca="1" si="8"/>
        <v>1712</v>
      </c>
      <c r="S192" s="43">
        <f t="shared" si="6"/>
        <v>45688</v>
      </c>
      <c r="T192" s="44" t="str">
        <f t="shared" si="7"/>
        <v>Nor</v>
      </c>
      <c r="U192" s="13"/>
      <c r="V192" s="10"/>
      <c r="W192" s="10"/>
      <c r="X192" s="10"/>
      <c r="Y192" s="10"/>
      <c r="Z192" s="10"/>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0"/>
      <c r="BC192" s="10"/>
      <c r="BD192" s="10"/>
      <c r="BE192" s="10"/>
      <c r="BF192" s="10"/>
      <c r="BG192" s="10"/>
      <c r="BH192" s="10"/>
      <c r="BI192" s="10"/>
      <c r="BJ192" s="10"/>
      <c r="BK192" s="10"/>
      <c r="BL192" s="10"/>
      <c r="BM192" s="10"/>
      <c r="BN192" s="10"/>
      <c r="BO192" s="10"/>
      <c r="BP192" s="10"/>
      <c r="BQ192" s="10"/>
      <c r="BR192" s="10"/>
      <c r="BS192" s="10"/>
      <c r="BT192" s="10"/>
      <c r="BU192" s="10"/>
      <c r="BV192" s="10"/>
      <c r="BW192" s="10"/>
      <c r="BX192" s="10"/>
      <c r="BY192" s="10"/>
      <c r="BZ192" s="10"/>
      <c r="CA192" s="10"/>
      <c r="CB192" s="10"/>
      <c r="CC192" s="10"/>
      <c r="CD192" s="10"/>
      <c r="CE192" s="10"/>
      <c r="CF192" s="10"/>
      <c r="CG192" s="10"/>
      <c r="CH192" s="10"/>
      <c r="CI192" s="10"/>
      <c r="CJ192" s="10"/>
      <c r="CK192" s="10"/>
      <c r="CL192" s="10"/>
      <c r="CM192" s="10"/>
      <c r="CN192" s="10"/>
      <c r="CO192" s="10"/>
      <c r="CP192" s="10"/>
      <c r="CQ192" s="10"/>
      <c r="CR192" s="10"/>
      <c r="CS192" s="10"/>
      <c r="CT192" s="10"/>
      <c r="CU192" s="10"/>
      <c r="CV192" s="10"/>
      <c r="CW192" s="10"/>
      <c r="CX192" s="10"/>
      <c r="CY192" s="10"/>
      <c r="CZ192" s="10"/>
      <c r="DA192" s="10"/>
      <c r="DB192" s="10"/>
      <c r="DC192" s="10"/>
      <c r="DD192" s="10"/>
      <c r="DE192" s="10"/>
      <c r="DF192" s="10"/>
      <c r="DG192" s="10"/>
      <c r="DH192" s="10"/>
    </row>
    <row r="193" spans="1:112" ht="15.75" customHeight="1" x14ac:dyDescent="0.3">
      <c r="A193" s="13" t="s">
        <v>338</v>
      </c>
      <c r="B193" s="14">
        <v>45671</v>
      </c>
      <c r="C193" s="13" t="s">
        <v>121</v>
      </c>
      <c r="D193" s="13" t="s">
        <v>122</v>
      </c>
      <c r="E193" s="13" t="s">
        <v>53</v>
      </c>
      <c r="F193" s="13" t="s">
        <v>54</v>
      </c>
      <c r="G193" s="13" t="s">
        <v>20</v>
      </c>
      <c r="H193" s="13">
        <v>2</v>
      </c>
      <c r="I193" s="13">
        <v>149.99</v>
      </c>
      <c r="J193" s="13" t="s">
        <v>21</v>
      </c>
      <c r="K193" s="13" t="s">
        <v>41</v>
      </c>
      <c r="L193" s="13" t="s">
        <v>37</v>
      </c>
      <c r="M193" s="14">
        <v>44913</v>
      </c>
      <c r="N193" s="13">
        <v>299.98</v>
      </c>
      <c r="O193" s="10"/>
      <c r="P193" s="13"/>
      <c r="Q193" s="10"/>
      <c r="R193" s="17">
        <f t="shared" ca="1" si="8"/>
        <v>1259</v>
      </c>
      <c r="S193" s="43">
        <f t="shared" si="6"/>
        <v>45688</v>
      </c>
      <c r="T193" s="44" t="str">
        <f t="shared" si="7"/>
        <v>Nor</v>
      </c>
      <c r="U193" s="13"/>
      <c r="V193" s="10"/>
      <c r="W193" s="10"/>
      <c r="X193" s="10"/>
      <c r="Y193" s="10"/>
      <c r="Z193" s="10"/>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0"/>
      <c r="BC193" s="10"/>
      <c r="BD193" s="10"/>
      <c r="BE193" s="10"/>
      <c r="BF193" s="10"/>
      <c r="BG193" s="10"/>
      <c r="BH193" s="10"/>
      <c r="BI193" s="10"/>
      <c r="BJ193" s="10"/>
      <c r="BK193" s="10"/>
      <c r="BL193" s="10"/>
      <c r="BM193" s="10"/>
      <c r="BN193" s="10"/>
      <c r="BO193" s="10"/>
      <c r="BP193" s="10"/>
      <c r="BQ193" s="10"/>
      <c r="BR193" s="10"/>
      <c r="BS193" s="10"/>
      <c r="BT193" s="10"/>
      <c r="BU193" s="10"/>
      <c r="BV193" s="10"/>
      <c r="BW193" s="10"/>
      <c r="BX193" s="10"/>
      <c r="BY193" s="10"/>
      <c r="BZ193" s="10"/>
      <c r="CA193" s="10"/>
      <c r="CB193" s="10"/>
      <c r="CC193" s="10"/>
      <c r="CD193" s="10"/>
      <c r="CE193" s="10"/>
      <c r="CF193" s="10"/>
      <c r="CG193" s="10"/>
      <c r="CH193" s="10"/>
      <c r="CI193" s="10"/>
      <c r="CJ193" s="10"/>
      <c r="CK193" s="10"/>
      <c r="CL193" s="10"/>
      <c r="CM193" s="10"/>
      <c r="CN193" s="10"/>
      <c r="CO193" s="10"/>
      <c r="CP193" s="10"/>
      <c r="CQ193" s="10"/>
      <c r="CR193" s="10"/>
      <c r="CS193" s="10"/>
      <c r="CT193" s="10"/>
      <c r="CU193" s="10"/>
      <c r="CV193" s="10"/>
      <c r="CW193" s="10"/>
      <c r="CX193" s="10"/>
      <c r="CY193" s="10"/>
      <c r="CZ193" s="10"/>
      <c r="DA193" s="10"/>
      <c r="DB193" s="10"/>
      <c r="DC193" s="10"/>
      <c r="DD193" s="10"/>
      <c r="DE193" s="10"/>
      <c r="DF193" s="10"/>
      <c r="DG193" s="10"/>
      <c r="DH193" s="10"/>
    </row>
    <row r="194" spans="1:112" ht="15.75" customHeight="1" x14ac:dyDescent="0.3">
      <c r="A194" s="13" t="s">
        <v>339</v>
      </c>
      <c r="B194" s="14">
        <v>45671</v>
      </c>
      <c r="C194" s="13" t="s">
        <v>235</v>
      </c>
      <c r="D194" s="13" t="s">
        <v>236</v>
      </c>
      <c r="E194" s="13" t="s">
        <v>106</v>
      </c>
      <c r="F194" s="13" t="s">
        <v>107</v>
      </c>
      <c r="G194" s="13" t="s">
        <v>47</v>
      </c>
      <c r="H194" s="13">
        <v>3</v>
      </c>
      <c r="I194" s="13">
        <v>299.99</v>
      </c>
      <c r="J194" s="13" t="s">
        <v>27</v>
      </c>
      <c r="K194" s="13" t="s">
        <v>36</v>
      </c>
      <c r="L194" s="13" t="s">
        <v>23</v>
      </c>
      <c r="M194" s="14">
        <v>45204</v>
      </c>
      <c r="N194" s="13">
        <v>899.97</v>
      </c>
      <c r="O194" s="10"/>
      <c r="P194" s="13"/>
      <c r="Q194" s="10"/>
      <c r="R194" s="17">
        <f t="shared" ca="1" si="8"/>
        <v>968</v>
      </c>
      <c r="S194" s="43">
        <f t="shared" si="6"/>
        <v>45688</v>
      </c>
      <c r="T194" s="44" t="str">
        <f t="shared" si="7"/>
        <v>Sou</v>
      </c>
      <c r="U194" s="13"/>
      <c r="V194" s="10"/>
      <c r="W194" s="10"/>
      <c r="X194" s="10"/>
      <c r="Y194" s="10"/>
      <c r="Z194" s="10"/>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0"/>
      <c r="BC194" s="10"/>
      <c r="BD194" s="10"/>
      <c r="BE194" s="10"/>
      <c r="BF194" s="10"/>
      <c r="BG194" s="10"/>
      <c r="BH194" s="10"/>
      <c r="BI194" s="10"/>
      <c r="BJ194" s="10"/>
      <c r="BK194" s="10"/>
      <c r="BL194" s="10"/>
      <c r="BM194" s="10"/>
      <c r="BN194" s="10"/>
      <c r="BO194" s="10"/>
      <c r="BP194" s="10"/>
      <c r="BQ194" s="10"/>
      <c r="BR194" s="10"/>
      <c r="BS194" s="10"/>
      <c r="BT194" s="10"/>
      <c r="BU194" s="10"/>
      <c r="BV194" s="10"/>
      <c r="BW194" s="10"/>
      <c r="BX194" s="10"/>
      <c r="BY194" s="10"/>
      <c r="BZ194" s="10"/>
      <c r="CA194" s="10"/>
      <c r="CB194" s="10"/>
      <c r="CC194" s="10"/>
      <c r="CD194" s="10"/>
      <c r="CE194" s="10"/>
      <c r="CF194" s="10"/>
      <c r="CG194" s="10"/>
      <c r="CH194" s="10"/>
      <c r="CI194" s="10"/>
      <c r="CJ194" s="10"/>
      <c r="CK194" s="10"/>
      <c r="CL194" s="10"/>
      <c r="CM194" s="10"/>
      <c r="CN194" s="10"/>
      <c r="CO194" s="10"/>
      <c r="CP194" s="10"/>
      <c r="CQ194" s="10"/>
      <c r="CR194" s="10"/>
      <c r="CS194" s="10"/>
      <c r="CT194" s="10"/>
      <c r="CU194" s="10"/>
      <c r="CV194" s="10"/>
      <c r="CW194" s="10"/>
      <c r="CX194" s="10"/>
      <c r="CY194" s="10"/>
      <c r="CZ194" s="10"/>
      <c r="DA194" s="10"/>
      <c r="DB194" s="10"/>
      <c r="DC194" s="10"/>
      <c r="DD194" s="10"/>
      <c r="DE194" s="10"/>
      <c r="DF194" s="10"/>
      <c r="DG194" s="10"/>
      <c r="DH194" s="10"/>
    </row>
    <row r="195" spans="1:112" ht="15.75" customHeight="1" x14ac:dyDescent="0.3">
      <c r="A195" s="13" t="s">
        <v>340</v>
      </c>
      <c r="B195" s="14">
        <v>45673</v>
      </c>
      <c r="C195" s="13" t="s">
        <v>227</v>
      </c>
      <c r="D195" s="13" t="s">
        <v>228</v>
      </c>
      <c r="E195" s="13" t="s">
        <v>127</v>
      </c>
      <c r="F195" s="13" t="s">
        <v>128</v>
      </c>
      <c r="G195" s="13" t="s">
        <v>47</v>
      </c>
      <c r="H195" s="13">
        <v>4</v>
      </c>
      <c r="I195" s="13">
        <v>199.99</v>
      </c>
      <c r="J195" s="13" t="s">
        <v>58</v>
      </c>
      <c r="K195" s="13" t="s">
        <v>36</v>
      </c>
      <c r="L195" s="13" t="s">
        <v>37</v>
      </c>
      <c r="M195" s="14">
        <v>44544</v>
      </c>
      <c r="N195" s="13">
        <v>799.96</v>
      </c>
      <c r="O195" s="10"/>
      <c r="P195" s="13"/>
      <c r="Q195" s="10"/>
      <c r="R195" s="17">
        <f t="shared" ca="1" si="8"/>
        <v>1628</v>
      </c>
      <c r="S195" s="43">
        <f t="shared" si="6"/>
        <v>45688</v>
      </c>
      <c r="T195" s="44" t="str">
        <f t="shared" si="7"/>
        <v>Sou</v>
      </c>
      <c r="U195" s="13"/>
      <c r="V195" s="10"/>
      <c r="W195" s="10"/>
      <c r="X195" s="10"/>
      <c r="Y195" s="10"/>
      <c r="Z195" s="10"/>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0"/>
      <c r="BC195" s="10"/>
      <c r="BD195" s="10"/>
      <c r="BE195" s="10"/>
      <c r="BF195" s="10"/>
      <c r="BG195" s="10"/>
      <c r="BH195" s="10"/>
      <c r="BI195" s="10"/>
      <c r="BJ195" s="10"/>
      <c r="BK195" s="10"/>
      <c r="BL195" s="10"/>
      <c r="BM195" s="10"/>
      <c r="BN195" s="10"/>
      <c r="BO195" s="10"/>
      <c r="BP195" s="10"/>
      <c r="BQ195" s="10"/>
      <c r="BR195" s="10"/>
      <c r="BS195" s="10"/>
      <c r="BT195" s="10"/>
      <c r="BU195" s="10"/>
      <c r="BV195" s="10"/>
      <c r="BW195" s="10"/>
      <c r="BX195" s="10"/>
      <c r="BY195" s="10"/>
      <c r="BZ195" s="10"/>
      <c r="CA195" s="10"/>
      <c r="CB195" s="10"/>
      <c r="CC195" s="10"/>
      <c r="CD195" s="10"/>
      <c r="CE195" s="10"/>
      <c r="CF195" s="10"/>
      <c r="CG195" s="10"/>
      <c r="CH195" s="10"/>
      <c r="CI195" s="10"/>
      <c r="CJ195" s="10"/>
      <c r="CK195" s="10"/>
      <c r="CL195" s="10"/>
      <c r="CM195" s="10"/>
      <c r="CN195" s="10"/>
      <c r="CO195" s="10"/>
      <c r="CP195" s="10"/>
      <c r="CQ195" s="10"/>
      <c r="CR195" s="10"/>
      <c r="CS195" s="10"/>
      <c r="CT195" s="10"/>
      <c r="CU195" s="10"/>
      <c r="CV195" s="10"/>
      <c r="CW195" s="10"/>
      <c r="CX195" s="10"/>
      <c r="CY195" s="10"/>
      <c r="CZ195" s="10"/>
      <c r="DA195" s="10"/>
      <c r="DB195" s="10"/>
      <c r="DC195" s="10"/>
      <c r="DD195" s="10"/>
      <c r="DE195" s="10"/>
      <c r="DF195" s="10"/>
      <c r="DG195" s="10"/>
      <c r="DH195" s="10"/>
    </row>
    <row r="196" spans="1:112" ht="15.75" customHeight="1" x14ac:dyDescent="0.3">
      <c r="A196" s="13" t="s">
        <v>341</v>
      </c>
      <c r="B196" s="14">
        <v>45673</v>
      </c>
      <c r="C196" s="13" t="s">
        <v>212</v>
      </c>
      <c r="D196" s="13" t="s">
        <v>213</v>
      </c>
      <c r="E196" s="13" t="s">
        <v>106</v>
      </c>
      <c r="F196" s="13" t="s">
        <v>107</v>
      </c>
      <c r="G196" s="13" t="s">
        <v>47</v>
      </c>
      <c r="H196" s="13">
        <v>5</v>
      </c>
      <c r="I196" s="13">
        <v>299.99</v>
      </c>
      <c r="J196" s="13" t="s">
        <v>58</v>
      </c>
      <c r="K196" s="13" t="s">
        <v>22</v>
      </c>
      <c r="L196" s="13" t="s">
        <v>23</v>
      </c>
      <c r="M196" s="14">
        <v>44431</v>
      </c>
      <c r="N196" s="13">
        <v>1499.95</v>
      </c>
      <c r="O196" s="10"/>
      <c r="P196" s="13"/>
      <c r="Q196" s="10"/>
      <c r="R196" s="17">
        <f t="shared" ca="1" si="8"/>
        <v>1741</v>
      </c>
      <c r="S196" s="43">
        <f t="shared" ref="S196:S252" si="9">EOMONTH(B196,0)</f>
        <v>45688</v>
      </c>
      <c r="T196" s="44" t="str">
        <f t="shared" ref="T196:T252" si="10">LEFT(K196,3)</f>
        <v>Cen</v>
      </c>
      <c r="U196" s="13"/>
      <c r="V196" s="10"/>
      <c r="W196" s="10"/>
      <c r="X196" s="10"/>
      <c r="Y196" s="10"/>
      <c r="Z196" s="10"/>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0"/>
      <c r="BC196" s="10"/>
      <c r="BD196" s="10"/>
      <c r="BE196" s="10"/>
      <c r="BF196" s="10"/>
      <c r="BG196" s="10"/>
      <c r="BH196" s="10"/>
      <c r="BI196" s="10"/>
      <c r="BJ196" s="10"/>
      <c r="BK196" s="10"/>
      <c r="BL196" s="10"/>
      <c r="BM196" s="10"/>
      <c r="BN196" s="10"/>
      <c r="BO196" s="10"/>
      <c r="BP196" s="10"/>
      <c r="BQ196" s="10"/>
      <c r="BR196" s="10"/>
      <c r="BS196" s="10"/>
      <c r="BT196" s="10"/>
      <c r="BU196" s="10"/>
      <c r="BV196" s="10"/>
      <c r="BW196" s="10"/>
      <c r="BX196" s="10"/>
      <c r="BY196" s="10"/>
      <c r="BZ196" s="10"/>
      <c r="CA196" s="10"/>
      <c r="CB196" s="10"/>
      <c r="CC196" s="10"/>
      <c r="CD196" s="10"/>
      <c r="CE196" s="10"/>
      <c r="CF196" s="10"/>
      <c r="CG196" s="10"/>
      <c r="CH196" s="10"/>
      <c r="CI196" s="10"/>
      <c r="CJ196" s="10"/>
      <c r="CK196" s="10"/>
      <c r="CL196" s="10"/>
      <c r="CM196" s="10"/>
      <c r="CN196" s="10"/>
      <c r="CO196" s="10"/>
      <c r="CP196" s="10"/>
      <c r="CQ196" s="10"/>
      <c r="CR196" s="10"/>
      <c r="CS196" s="10"/>
      <c r="CT196" s="10"/>
      <c r="CU196" s="10"/>
      <c r="CV196" s="10"/>
      <c r="CW196" s="10"/>
      <c r="CX196" s="10"/>
      <c r="CY196" s="10"/>
      <c r="CZ196" s="10"/>
      <c r="DA196" s="10"/>
      <c r="DB196" s="10"/>
      <c r="DC196" s="10"/>
      <c r="DD196" s="10"/>
      <c r="DE196" s="10"/>
      <c r="DF196" s="10"/>
      <c r="DG196" s="10"/>
      <c r="DH196" s="10"/>
    </row>
    <row r="197" spans="1:112" ht="15.75" customHeight="1" x14ac:dyDescent="0.3">
      <c r="A197" s="13" t="s">
        <v>342</v>
      </c>
      <c r="B197" s="14">
        <v>45673</v>
      </c>
      <c r="C197" s="13" t="s">
        <v>60</v>
      </c>
      <c r="D197" s="13" t="s">
        <v>61</v>
      </c>
      <c r="E197" s="13" t="s">
        <v>45</v>
      </c>
      <c r="F197" s="13" t="s">
        <v>46</v>
      </c>
      <c r="G197" s="13" t="s">
        <v>47</v>
      </c>
      <c r="H197" s="13">
        <v>3</v>
      </c>
      <c r="I197" s="13">
        <v>149.99</v>
      </c>
      <c r="J197" s="13" t="s">
        <v>27</v>
      </c>
      <c r="K197" s="13" t="s">
        <v>64</v>
      </c>
      <c r="L197" s="13" t="s">
        <v>37</v>
      </c>
      <c r="M197" s="14">
        <v>44395</v>
      </c>
      <c r="N197" s="13">
        <v>449.97</v>
      </c>
      <c r="O197" s="10"/>
      <c r="P197" s="13"/>
      <c r="Q197" s="10"/>
      <c r="R197" s="17">
        <f t="shared" ref="R197:R252" ca="1" si="11">DATEDIF(M197,TODAY(),"D")</f>
        <v>1777</v>
      </c>
      <c r="S197" s="43">
        <f t="shared" si="9"/>
        <v>45688</v>
      </c>
      <c r="T197" s="44" t="str">
        <f t="shared" si="10"/>
        <v>Eas</v>
      </c>
      <c r="U197" s="13"/>
      <c r="V197" s="10"/>
      <c r="W197" s="10"/>
      <c r="X197" s="10"/>
      <c r="Y197" s="10"/>
      <c r="Z197" s="10"/>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0"/>
      <c r="BC197" s="10"/>
      <c r="BD197" s="10"/>
      <c r="BE197" s="10"/>
      <c r="BF197" s="10"/>
      <c r="BG197" s="10"/>
      <c r="BH197" s="10"/>
      <c r="BI197" s="10"/>
      <c r="BJ197" s="10"/>
      <c r="BK197" s="10"/>
      <c r="BL197" s="10"/>
      <c r="BM197" s="10"/>
      <c r="BN197" s="10"/>
      <c r="BO197" s="10"/>
      <c r="BP197" s="10"/>
      <c r="BQ197" s="10"/>
      <c r="BR197" s="10"/>
      <c r="BS197" s="10"/>
      <c r="BT197" s="10"/>
      <c r="BU197" s="10"/>
      <c r="BV197" s="10"/>
      <c r="BW197" s="10"/>
      <c r="BX197" s="10"/>
      <c r="BY197" s="10"/>
      <c r="BZ197" s="10"/>
      <c r="CA197" s="10"/>
      <c r="CB197" s="10"/>
      <c r="CC197" s="10"/>
      <c r="CD197" s="10"/>
      <c r="CE197" s="10"/>
      <c r="CF197" s="10"/>
      <c r="CG197" s="10"/>
      <c r="CH197" s="10"/>
      <c r="CI197" s="10"/>
      <c r="CJ197" s="10"/>
      <c r="CK197" s="10"/>
      <c r="CL197" s="10"/>
      <c r="CM197" s="10"/>
      <c r="CN197" s="10"/>
      <c r="CO197" s="10"/>
      <c r="CP197" s="10"/>
      <c r="CQ197" s="10"/>
      <c r="CR197" s="10"/>
      <c r="CS197" s="10"/>
      <c r="CT197" s="10"/>
      <c r="CU197" s="10"/>
      <c r="CV197" s="10"/>
      <c r="CW197" s="10"/>
      <c r="CX197" s="10"/>
      <c r="CY197" s="10"/>
      <c r="CZ197" s="10"/>
      <c r="DA197" s="10"/>
      <c r="DB197" s="10"/>
      <c r="DC197" s="10"/>
      <c r="DD197" s="10"/>
      <c r="DE197" s="10"/>
      <c r="DF197" s="10"/>
      <c r="DG197" s="10"/>
      <c r="DH197" s="10"/>
    </row>
    <row r="198" spans="1:112" ht="15.75" customHeight="1" x14ac:dyDescent="0.3">
      <c r="A198" s="13" t="s">
        <v>343</v>
      </c>
      <c r="B198" s="14">
        <v>45676</v>
      </c>
      <c r="C198" s="13" t="s">
        <v>130</v>
      </c>
      <c r="D198" s="13" t="s">
        <v>131</v>
      </c>
      <c r="E198" s="13" t="s">
        <v>32</v>
      </c>
      <c r="F198" s="13" t="s">
        <v>33</v>
      </c>
      <c r="G198" s="13" t="s">
        <v>34</v>
      </c>
      <c r="H198" s="13">
        <v>5</v>
      </c>
      <c r="I198" s="13">
        <v>59.99</v>
      </c>
      <c r="J198" s="13" t="s">
        <v>58</v>
      </c>
      <c r="K198" s="13" t="s">
        <v>64</v>
      </c>
      <c r="L198" s="13" t="s">
        <v>23</v>
      </c>
      <c r="M198" s="14">
        <v>44642</v>
      </c>
      <c r="N198" s="13">
        <v>299.95</v>
      </c>
      <c r="O198" s="10"/>
      <c r="P198" s="13"/>
      <c r="Q198" s="10"/>
      <c r="R198" s="17">
        <f t="shared" ca="1" si="11"/>
        <v>1530</v>
      </c>
      <c r="S198" s="43">
        <f t="shared" si="9"/>
        <v>45688</v>
      </c>
      <c r="T198" s="44" t="str">
        <f t="shared" si="10"/>
        <v>Eas</v>
      </c>
      <c r="U198" s="13"/>
      <c r="V198" s="10"/>
      <c r="W198" s="10"/>
      <c r="X198" s="10"/>
      <c r="Y198" s="10"/>
      <c r="Z198" s="10"/>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0"/>
      <c r="BC198" s="10"/>
      <c r="BD198" s="10"/>
      <c r="BE198" s="10"/>
      <c r="BF198" s="10"/>
      <c r="BG198" s="10"/>
      <c r="BH198" s="10"/>
      <c r="BI198" s="10"/>
      <c r="BJ198" s="10"/>
      <c r="BK198" s="10"/>
      <c r="BL198" s="10"/>
      <c r="BM198" s="10"/>
      <c r="BN198" s="10"/>
      <c r="BO198" s="10"/>
      <c r="BP198" s="10"/>
      <c r="BQ198" s="10"/>
      <c r="BR198" s="10"/>
      <c r="BS198" s="10"/>
      <c r="BT198" s="10"/>
      <c r="BU198" s="10"/>
      <c r="BV198" s="10"/>
      <c r="BW198" s="10"/>
      <c r="BX198" s="10"/>
      <c r="BY198" s="10"/>
      <c r="BZ198" s="10"/>
      <c r="CA198" s="10"/>
      <c r="CB198" s="10"/>
      <c r="CC198" s="10"/>
      <c r="CD198" s="10"/>
      <c r="CE198" s="10"/>
      <c r="CF198" s="10"/>
      <c r="CG198" s="10"/>
      <c r="CH198" s="10"/>
      <c r="CI198" s="10"/>
      <c r="CJ198" s="10"/>
      <c r="CK198" s="10"/>
      <c r="CL198" s="10"/>
      <c r="CM198" s="10"/>
      <c r="CN198" s="10"/>
      <c r="CO198" s="10"/>
      <c r="CP198" s="10"/>
      <c r="CQ198" s="10"/>
      <c r="CR198" s="10"/>
      <c r="CS198" s="10"/>
      <c r="CT198" s="10"/>
      <c r="CU198" s="10"/>
      <c r="CV198" s="10"/>
      <c r="CW198" s="10"/>
      <c r="CX198" s="10"/>
      <c r="CY198" s="10"/>
      <c r="CZ198" s="10"/>
      <c r="DA198" s="10"/>
      <c r="DB198" s="10"/>
      <c r="DC198" s="10"/>
      <c r="DD198" s="10"/>
      <c r="DE198" s="10"/>
      <c r="DF198" s="10"/>
      <c r="DG198" s="10"/>
      <c r="DH198" s="10"/>
    </row>
    <row r="199" spans="1:112" ht="15.75" customHeight="1" x14ac:dyDescent="0.3">
      <c r="A199" s="13" t="s">
        <v>344</v>
      </c>
      <c r="B199" s="14">
        <v>45682</v>
      </c>
      <c r="C199" s="13" t="s">
        <v>69</v>
      </c>
      <c r="D199" s="13" t="s">
        <v>70</v>
      </c>
      <c r="E199" s="13" t="s">
        <v>32</v>
      </c>
      <c r="F199" s="13" t="s">
        <v>33</v>
      </c>
      <c r="G199" s="13" t="s">
        <v>34</v>
      </c>
      <c r="H199" s="13">
        <v>4</v>
      </c>
      <c r="I199" s="13">
        <v>59.99</v>
      </c>
      <c r="J199" s="13" t="s">
        <v>58</v>
      </c>
      <c r="K199" s="13" t="s">
        <v>64</v>
      </c>
      <c r="L199" s="13" t="s">
        <v>37</v>
      </c>
      <c r="M199" s="14">
        <v>44564</v>
      </c>
      <c r="N199" s="13">
        <v>239.96</v>
      </c>
      <c r="O199" s="10"/>
      <c r="P199" s="13"/>
      <c r="Q199" s="10"/>
      <c r="R199" s="17">
        <f t="shared" ca="1" si="11"/>
        <v>1608</v>
      </c>
      <c r="S199" s="43">
        <f t="shared" si="9"/>
        <v>45688</v>
      </c>
      <c r="T199" s="44" t="str">
        <f t="shared" si="10"/>
        <v>Eas</v>
      </c>
      <c r="U199" s="13"/>
      <c r="V199" s="10"/>
      <c r="W199" s="10"/>
      <c r="X199" s="10"/>
      <c r="Y199" s="10"/>
      <c r="Z199" s="10"/>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0"/>
      <c r="BC199" s="10"/>
      <c r="BD199" s="10"/>
      <c r="BE199" s="10"/>
      <c r="BF199" s="10"/>
      <c r="BG199" s="10"/>
      <c r="BH199" s="10"/>
      <c r="BI199" s="10"/>
      <c r="BJ199" s="10"/>
      <c r="BK199" s="10"/>
      <c r="BL199" s="10"/>
      <c r="BM199" s="10"/>
      <c r="BN199" s="10"/>
      <c r="BO199" s="10"/>
      <c r="BP199" s="10"/>
      <c r="BQ199" s="10"/>
      <c r="BR199" s="10"/>
      <c r="BS199" s="10"/>
      <c r="BT199" s="10"/>
      <c r="BU199" s="10"/>
      <c r="BV199" s="10"/>
      <c r="BW199" s="10"/>
      <c r="BX199" s="10"/>
      <c r="BY199" s="10"/>
      <c r="BZ199" s="10"/>
      <c r="CA199" s="10"/>
      <c r="CB199" s="10"/>
      <c r="CC199" s="10"/>
      <c r="CD199" s="10"/>
      <c r="CE199" s="10"/>
      <c r="CF199" s="10"/>
      <c r="CG199" s="10"/>
      <c r="CH199" s="10"/>
      <c r="CI199" s="10"/>
      <c r="CJ199" s="10"/>
      <c r="CK199" s="10"/>
      <c r="CL199" s="10"/>
      <c r="CM199" s="10"/>
      <c r="CN199" s="10"/>
      <c r="CO199" s="10"/>
      <c r="CP199" s="10"/>
      <c r="CQ199" s="10"/>
      <c r="CR199" s="10"/>
      <c r="CS199" s="10"/>
      <c r="CT199" s="10"/>
      <c r="CU199" s="10"/>
      <c r="CV199" s="10"/>
      <c r="CW199" s="10"/>
      <c r="CX199" s="10"/>
      <c r="CY199" s="10"/>
      <c r="CZ199" s="10"/>
      <c r="DA199" s="10"/>
      <c r="DB199" s="10"/>
      <c r="DC199" s="10"/>
      <c r="DD199" s="10"/>
      <c r="DE199" s="10"/>
      <c r="DF199" s="10"/>
      <c r="DG199" s="10"/>
      <c r="DH199" s="10"/>
    </row>
    <row r="200" spans="1:112" ht="15.75" customHeight="1" x14ac:dyDescent="0.3">
      <c r="A200" s="13" t="s">
        <v>345</v>
      </c>
      <c r="B200" s="14">
        <v>45683</v>
      </c>
      <c r="C200" s="13" t="s">
        <v>49</v>
      </c>
      <c r="D200" s="13" t="s">
        <v>50</v>
      </c>
      <c r="E200" s="13" t="s">
        <v>18</v>
      </c>
      <c r="F200" s="13" t="s">
        <v>19</v>
      </c>
      <c r="G200" s="13" t="s">
        <v>20</v>
      </c>
      <c r="H200" s="13">
        <v>4</v>
      </c>
      <c r="I200" s="13">
        <v>249.99</v>
      </c>
      <c r="J200" s="13" t="s">
        <v>58</v>
      </c>
      <c r="K200" s="13" t="s">
        <v>22</v>
      </c>
      <c r="L200" s="13" t="s">
        <v>28</v>
      </c>
      <c r="M200" s="14">
        <v>45217</v>
      </c>
      <c r="N200" s="13">
        <v>999.96</v>
      </c>
      <c r="O200" s="10"/>
      <c r="P200" s="13"/>
      <c r="Q200" s="10"/>
      <c r="R200" s="17">
        <f t="shared" ca="1" si="11"/>
        <v>955</v>
      </c>
      <c r="S200" s="43">
        <f t="shared" si="9"/>
        <v>45688</v>
      </c>
      <c r="T200" s="44" t="str">
        <f t="shared" si="10"/>
        <v>Cen</v>
      </c>
      <c r="U200" s="13"/>
      <c r="V200" s="10"/>
      <c r="W200" s="10"/>
      <c r="X200" s="10"/>
      <c r="Y200" s="10"/>
      <c r="Z200" s="10"/>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0"/>
      <c r="BC200" s="10"/>
      <c r="BD200" s="10"/>
      <c r="BE200" s="10"/>
      <c r="BF200" s="10"/>
      <c r="BG200" s="10"/>
      <c r="BH200" s="10"/>
      <c r="BI200" s="10"/>
      <c r="BJ200" s="10"/>
      <c r="BK200" s="10"/>
      <c r="BL200" s="10"/>
      <c r="BM200" s="10"/>
      <c r="BN200" s="10"/>
      <c r="BO200" s="10"/>
      <c r="BP200" s="10"/>
      <c r="BQ200" s="10"/>
      <c r="BR200" s="10"/>
      <c r="BS200" s="10"/>
      <c r="BT200" s="10"/>
      <c r="BU200" s="10"/>
      <c r="BV200" s="10"/>
      <c r="BW200" s="10"/>
      <c r="BX200" s="10"/>
      <c r="BY200" s="10"/>
      <c r="BZ200" s="10"/>
      <c r="CA200" s="10"/>
      <c r="CB200" s="10"/>
      <c r="CC200" s="10"/>
      <c r="CD200" s="10"/>
      <c r="CE200" s="10"/>
      <c r="CF200" s="10"/>
      <c r="CG200" s="10"/>
      <c r="CH200" s="10"/>
      <c r="CI200" s="10"/>
      <c r="CJ200" s="10"/>
      <c r="CK200" s="10"/>
      <c r="CL200" s="10"/>
      <c r="CM200" s="10"/>
      <c r="CN200" s="10"/>
      <c r="CO200" s="10"/>
      <c r="CP200" s="10"/>
      <c r="CQ200" s="10"/>
      <c r="CR200" s="10"/>
      <c r="CS200" s="10"/>
      <c r="CT200" s="10"/>
      <c r="CU200" s="10"/>
      <c r="CV200" s="10"/>
      <c r="CW200" s="10"/>
      <c r="CX200" s="10"/>
      <c r="CY200" s="10"/>
      <c r="CZ200" s="10"/>
      <c r="DA200" s="10"/>
      <c r="DB200" s="10"/>
      <c r="DC200" s="10"/>
      <c r="DD200" s="10"/>
      <c r="DE200" s="10"/>
      <c r="DF200" s="10"/>
      <c r="DG200" s="10"/>
      <c r="DH200" s="10"/>
    </row>
    <row r="201" spans="1:112" ht="15.75" customHeight="1" x14ac:dyDescent="0.3">
      <c r="A201" s="13" t="s">
        <v>346</v>
      </c>
      <c r="B201" s="14">
        <v>45686</v>
      </c>
      <c r="C201" s="13" t="s">
        <v>253</v>
      </c>
      <c r="D201" s="13" t="s">
        <v>254</v>
      </c>
      <c r="E201" s="13" t="s">
        <v>62</v>
      </c>
      <c r="F201" s="13" t="s">
        <v>63</v>
      </c>
      <c r="G201" s="13" t="s">
        <v>20</v>
      </c>
      <c r="H201" s="13">
        <v>4</v>
      </c>
      <c r="I201" s="13">
        <v>899.99</v>
      </c>
      <c r="J201" s="13" t="s">
        <v>35</v>
      </c>
      <c r="K201" s="13" t="s">
        <v>22</v>
      </c>
      <c r="L201" s="13" t="s">
        <v>23</v>
      </c>
      <c r="M201" s="14">
        <v>44734</v>
      </c>
      <c r="N201" s="13">
        <v>3599.96</v>
      </c>
      <c r="O201" s="10"/>
      <c r="P201" s="13"/>
      <c r="Q201" s="10"/>
      <c r="R201" s="17">
        <f t="shared" ca="1" si="11"/>
        <v>1438</v>
      </c>
      <c r="S201" s="43">
        <f t="shared" si="9"/>
        <v>45688</v>
      </c>
      <c r="T201" s="44" t="str">
        <f t="shared" si="10"/>
        <v>Cen</v>
      </c>
      <c r="U201" s="13"/>
      <c r="V201" s="10"/>
      <c r="W201" s="10"/>
      <c r="X201" s="10"/>
      <c r="Y201" s="10"/>
      <c r="Z201" s="10"/>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0"/>
      <c r="BC201" s="10"/>
      <c r="BD201" s="10"/>
      <c r="BE201" s="10"/>
      <c r="BF201" s="10"/>
      <c r="BG201" s="10"/>
      <c r="BH201" s="10"/>
      <c r="BI201" s="10"/>
      <c r="BJ201" s="10"/>
      <c r="BK201" s="10"/>
      <c r="BL201" s="10"/>
      <c r="BM201" s="10"/>
      <c r="BN201" s="10"/>
      <c r="BO201" s="10"/>
      <c r="BP201" s="10"/>
      <c r="BQ201" s="10"/>
      <c r="BR201" s="10"/>
      <c r="BS201" s="10"/>
      <c r="BT201" s="10"/>
      <c r="BU201" s="10"/>
      <c r="BV201" s="10"/>
      <c r="BW201" s="10"/>
      <c r="BX201" s="10"/>
      <c r="BY201" s="10"/>
      <c r="BZ201" s="10"/>
      <c r="CA201" s="10"/>
      <c r="CB201" s="10"/>
      <c r="CC201" s="10"/>
      <c r="CD201" s="10"/>
      <c r="CE201" s="10"/>
      <c r="CF201" s="10"/>
      <c r="CG201" s="10"/>
      <c r="CH201" s="10"/>
      <c r="CI201" s="10"/>
      <c r="CJ201" s="10"/>
      <c r="CK201" s="10"/>
      <c r="CL201" s="10"/>
      <c r="CM201" s="10"/>
      <c r="CN201" s="10"/>
      <c r="CO201" s="10"/>
      <c r="CP201" s="10"/>
      <c r="CQ201" s="10"/>
      <c r="CR201" s="10"/>
      <c r="CS201" s="10"/>
      <c r="CT201" s="10"/>
      <c r="CU201" s="10"/>
      <c r="CV201" s="10"/>
      <c r="CW201" s="10"/>
      <c r="CX201" s="10"/>
      <c r="CY201" s="10"/>
      <c r="CZ201" s="10"/>
      <c r="DA201" s="10"/>
      <c r="DB201" s="10"/>
      <c r="DC201" s="10"/>
      <c r="DD201" s="10"/>
      <c r="DE201" s="10"/>
      <c r="DF201" s="10"/>
      <c r="DG201" s="10"/>
      <c r="DH201" s="10"/>
    </row>
    <row r="202" spans="1:112" ht="15.75" customHeight="1" x14ac:dyDescent="0.3">
      <c r="A202" s="13" t="s">
        <v>347</v>
      </c>
      <c r="B202" s="14">
        <v>45686</v>
      </c>
      <c r="C202" s="13" t="s">
        <v>87</v>
      </c>
      <c r="D202" s="13" t="s">
        <v>88</v>
      </c>
      <c r="E202" s="13" t="s">
        <v>106</v>
      </c>
      <c r="F202" s="13" t="s">
        <v>107</v>
      </c>
      <c r="G202" s="13" t="s">
        <v>47</v>
      </c>
      <c r="H202" s="13">
        <v>3</v>
      </c>
      <c r="I202" s="13">
        <v>299.99</v>
      </c>
      <c r="J202" s="13" t="s">
        <v>58</v>
      </c>
      <c r="K202" s="13" t="s">
        <v>51</v>
      </c>
      <c r="L202" s="13" t="s">
        <v>37</v>
      </c>
      <c r="M202" s="14">
        <v>44952</v>
      </c>
      <c r="N202" s="13">
        <v>899.97</v>
      </c>
      <c r="O202" s="10"/>
      <c r="P202" s="13"/>
      <c r="Q202" s="10"/>
      <c r="R202" s="17">
        <f t="shared" ca="1" si="11"/>
        <v>1220</v>
      </c>
      <c r="S202" s="43">
        <f t="shared" si="9"/>
        <v>45688</v>
      </c>
      <c r="T202" s="44" t="str">
        <f t="shared" si="10"/>
        <v>Wes</v>
      </c>
      <c r="U202" s="13"/>
      <c r="V202" s="10"/>
      <c r="W202" s="10"/>
      <c r="X202" s="10"/>
      <c r="Y202" s="10"/>
      <c r="Z202" s="10"/>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0"/>
      <c r="BC202" s="10"/>
      <c r="BD202" s="10"/>
      <c r="BE202" s="10"/>
      <c r="BF202" s="10"/>
      <c r="BG202" s="10"/>
      <c r="BH202" s="10"/>
      <c r="BI202" s="10"/>
      <c r="BJ202" s="10"/>
      <c r="BK202" s="10"/>
      <c r="BL202" s="10"/>
      <c r="BM202" s="10"/>
      <c r="BN202" s="10"/>
      <c r="BO202" s="10"/>
      <c r="BP202" s="10"/>
      <c r="BQ202" s="10"/>
      <c r="BR202" s="10"/>
      <c r="BS202" s="10"/>
      <c r="BT202" s="10"/>
      <c r="BU202" s="10"/>
      <c r="BV202" s="10"/>
      <c r="BW202" s="10"/>
      <c r="BX202" s="10"/>
      <c r="BY202" s="10"/>
      <c r="BZ202" s="10"/>
      <c r="CA202" s="10"/>
      <c r="CB202" s="10"/>
      <c r="CC202" s="10"/>
      <c r="CD202" s="10"/>
      <c r="CE202" s="10"/>
      <c r="CF202" s="10"/>
      <c r="CG202" s="10"/>
      <c r="CH202" s="10"/>
      <c r="CI202" s="10"/>
      <c r="CJ202" s="10"/>
      <c r="CK202" s="10"/>
      <c r="CL202" s="10"/>
      <c r="CM202" s="10"/>
      <c r="CN202" s="10"/>
      <c r="CO202" s="10"/>
      <c r="CP202" s="10"/>
      <c r="CQ202" s="10"/>
      <c r="CR202" s="10"/>
      <c r="CS202" s="10"/>
      <c r="CT202" s="10"/>
      <c r="CU202" s="10"/>
      <c r="CV202" s="10"/>
      <c r="CW202" s="10"/>
      <c r="CX202" s="10"/>
      <c r="CY202" s="10"/>
      <c r="CZ202" s="10"/>
      <c r="DA202" s="10"/>
      <c r="DB202" s="10"/>
      <c r="DC202" s="10"/>
      <c r="DD202" s="10"/>
      <c r="DE202" s="10"/>
      <c r="DF202" s="10"/>
      <c r="DG202" s="10"/>
      <c r="DH202" s="10"/>
    </row>
    <row r="203" spans="1:112" ht="15.75" customHeight="1" x14ac:dyDescent="0.3">
      <c r="A203" s="13" t="s">
        <v>348</v>
      </c>
      <c r="B203" s="14">
        <v>45686</v>
      </c>
      <c r="C203" s="13" t="s">
        <v>294</v>
      </c>
      <c r="D203" s="13" t="s">
        <v>295</v>
      </c>
      <c r="E203" s="13" t="s">
        <v>81</v>
      </c>
      <c r="F203" s="13" t="s">
        <v>82</v>
      </c>
      <c r="G203" s="13" t="s">
        <v>20</v>
      </c>
      <c r="H203" s="13">
        <v>2</v>
      </c>
      <c r="I203" s="13">
        <v>699.99</v>
      </c>
      <c r="J203" s="13" t="s">
        <v>58</v>
      </c>
      <c r="K203" s="13" t="s">
        <v>22</v>
      </c>
      <c r="L203" s="13" t="s">
        <v>28</v>
      </c>
      <c r="M203" s="14">
        <v>44681</v>
      </c>
      <c r="N203" s="13">
        <v>1399.98</v>
      </c>
      <c r="O203" s="10"/>
      <c r="P203" s="13"/>
      <c r="Q203" s="10"/>
      <c r="R203" s="17">
        <f t="shared" ca="1" si="11"/>
        <v>1491</v>
      </c>
      <c r="S203" s="43">
        <f t="shared" si="9"/>
        <v>45688</v>
      </c>
      <c r="T203" s="44" t="str">
        <f t="shared" si="10"/>
        <v>Cen</v>
      </c>
      <c r="U203" s="13"/>
      <c r="V203" s="10"/>
      <c r="W203" s="10"/>
      <c r="X203" s="10"/>
      <c r="Y203" s="10"/>
      <c r="Z203" s="10"/>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0"/>
      <c r="BC203" s="10"/>
      <c r="BD203" s="10"/>
      <c r="BE203" s="10"/>
      <c r="BF203" s="10"/>
      <c r="BG203" s="10"/>
      <c r="BH203" s="10"/>
      <c r="BI203" s="10"/>
      <c r="BJ203" s="10"/>
      <c r="BK203" s="10"/>
      <c r="BL203" s="10"/>
      <c r="BM203" s="10"/>
      <c r="BN203" s="10"/>
      <c r="BO203" s="10"/>
      <c r="BP203" s="10"/>
      <c r="BQ203" s="10"/>
      <c r="BR203" s="10"/>
      <c r="BS203" s="10"/>
      <c r="BT203" s="10"/>
      <c r="BU203" s="10"/>
      <c r="BV203" s="10"/>
      <c r="BW203" s="10"/>
      <c r="BX203" s="10"/>
      <c r="BY203" s="10"/>
      <c r="BZ203" s="10"/>
      <c r="CA203" s="10"/>
      <c r="CB203" s="10"/>
      <c r="CC203" s="10"/>
      <c r="CD203" s="10"/>
      <c r="CE203" s="10"/>
      <c r="CF203" s="10"/>
      <c r="CG203" s="10"/>
      <c r="CH203" s="10"/>
      <c r="CI203" s="10"/>
      <c r="CJ203" s="10"/>
      <c r="CK203" s="10"/>
      <c r="CL203" s="10"/>
      <c r="CM203" s="10"/>
      <c r="CN203" s="10"/>
      <c r="CO203" s="10"/>
      <c r="CP203" s="10"/>
      <c r="CQ203" s="10"/>
      <c r="CR203" s="10"/>
      <c r="CS203" s="10"/>
      <c r="CT203" s="10"/>
      <c r="CU203" s="10"/>
      <c r="CV203" s="10"/>
      <c r="CW203" s="10"/>
      <c r="CX203" s="10"/>
      <c r="CY203" s="10"/>
      <c r="CZ203" s="10"/>
      <c r="DA203" s="10"/>
      <c r="DB203" s="10"/>
      <c r="DC203" s="10"/>
      <c r="DD203" s="10"/>
      <c r="DE203" s="10"/>
      <c r="DF203" s="10"/>
      <c r="DG203" s="10"/>
      <c r="DH203" s="10"/>
    </row>
    <row r="204" spans="1:112" ht="15.75" customHeight="1" x14ac:dyDescent="0.3">
      <c r="A204" s="13" t="s">
        <v>349</v>
      </c>
      <c r="B204" s="14">
        <v>45688</v>
      </c>
      <c r="C204" s="13" t="s">
        <v>66</v>
      </c>
      <c r="D204" s="13" t="s">
        <v>67</v>
      </c>
      <c r="E204" s="13" t="s">
        <v>81</v>
      </c>
      <c r="F204" s="13" t="s">
        <v>82</v>
      </c>
      <c r="G204" s="13" t="s">
        <v>20</v>
      </c>
      <c r="H204" s="13">
        <v>4</v>
      </c>
      <c r="I204" s="13">
        <v>699.99</v>
      </c>
      <c r="J204" s="13" t="s">
        <v>58</v>
      </c>
      <c r="K204" s="13" t="s">
        <v>51</v>
      </c>
      <c r="L204" s="13" t="s">
        <v>28</v>
      </c>
      <c r="M204" s="14">
        <v>44692</v>
      </c>
      <c r="N204" s="13">
        <v>2799.96</v>
      </c>
      <c r="O204" s="10"/>
      <c r="P204" s="13"/>
      <c r="Q204" s="10"/>
      <c r="R204" s="17">
        <f t="shared" ca="1" si="11"/>
        <v>1480</v>
      </c>
      <c r="S204" s="43">
        <f t="shared" si="9"/>
        <v>45688</v>
      </c>
      <c r="T204" s="44" t="str">
        <f t="shared" si="10"/>
        <v>Wes</v>
      </c>
      <c r="U204" s="13"/>
      <c r="V204" s="10"/>
      <c r="W204" s="10"/>
      <c r="X204" s="10"/>
      <c r="Y204" s="10"/>
      <c r="Z204" s="10"/>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0"/>
      <c r="BC204" s="10"/>
      <c r="BD204" s="10"/>
      <c r="BE204" s="10"/>
      <c r="BF204" s="10"/>
      <c r="BG204" s="10"/>
      <c r="BH204" s="10"/>
      <c r="BI204" s="10"/>
      <c r="BJ204" s="10"/>
      <c r="BK204" s="10"/>
      <c r="BL204" s="10"/>
      <c r="BM204" s="10"/>
      <c r="BN204" s="10"/>
      <c r="BO204" s="10"/>
      <c r="BP204" s="10"/>
      <c r="BQ204" s="10"/>
      <c r="BR204" s="10"/>
      <c r="BS204" s="10"/>
      <c r="BT204" s="10"/>
      <c r="BU204" s="10"/>
      <c r="BV204" s="10"/>
      <c r="BW204" s="10"/>
      <c r="BX204" s="10"/>
      <c r="BY204" s="10"/>
      <c r="BZ204" s="10"/>
      <c r="CA204" s="10"/>
      <c r="CB204" s="10"/>
      <c r="CC204" s="10"/>
      <c r="CD204" s="10"/>
      <c r="CE204" s="10"/>
      <c r="CF204" s="10"/>
      <c r="CG204" s="10"/>
      <c r="CH204" s="10"/>
      <c r="CI204" s="10"/>
      <c r="CJ204" s="10"/>
      <c r="CK204" s="10"/>
      <c r="CL204" s="10"/>
      <c r="CM204" s="10"/>
      <c r="CN204" s="10"/>
      <c r="CO204" s="10"/>
      <c r="CP204" s="10"/>
      <c r="CQ204" s="10"/>
      <c r="CR204" s="10"/>
      <c r="CS204" s="10"/>
      <c r="CT204" s="10"/>
      <c r="CU204" s="10"/>
      <c r="CV204" s="10"/>
      <c r="CW204" s="10"/>
      <c r="CX204" s="10"/>
      <c r="CY204" s="10"/>
      <c r="CZ204" s="10"/>
      <c r="DA204" s="10"/>
      <c r="DB204" s="10"/>
      <c r="DC204" s="10"/>
      <c r="DD204" s="10"/>
      <c r="DE204" s="10"/>
      <c r="DF204" s="10"/>
      <c r="DG204" s="10"/>
      <c r="DH204" s="10"/>
    </row>
    <row r="205" spans="1:112" ht="15.75" customHeight="1" x14ac:dyDescent="0.3">
      <c r="A205" s="13" t="s">
        <v>350</v>
      </c>
      <c r="B205" s="14">
        <v>45688</v>
      </c>
      <c r="C205" s="13" t="s">
        <v>124</v>
      </c>
      <c r="D205" s="13" t="s">
        <v>125</v>
      </c>
      <c r="E205" s="13" t="s">
        <v>118</v>
      </c>
      <c r="F205" s="13" t="s">
        <v>119</v>
      </c>
      <c r="G205" s="13" t="s">
        <v>20</v>
      </c>
      <c r="H205" s="13">
        <v>2</v>
      </c>
      <c r="I205" s="13">
        <v>89.99</v>
      </c>
      <c r="J205" s="13" t="s">
        <v>58</v>
      </c>
      <c r="K205" s="13" t="s">
        <v>36</v>
      </c>
      <c r="L205" s="13" t="s">
        <v>23</v>
      </c>
      <c r="M205" s="14">
        <v>44777</v>
      </c>
      <c r="N205" s="13">
        <v>179.98</v>
      </c>
      <c r="O205" s="10"/>
      <c r="P205" s="13"/>
      <c r="Q205" s="10"/>
      <c r="R205" s="17">
        <f t="shared" ca="1" si="11"/>
        <v>1395</v>
      </c>
      <c r="S205" s="43">
        <f t="shared" si="9"/>
        <v>45688</v>
      </c>
      <c r="T205" s="44" t="str">
        <f t="shared" si="10"/>
        <v>Sou</v>
      </c>
      <c r="U205" s="13"/>
      <c r="V205" s="10"/>
      <c r="W205" s="10"/>
      <c r="X205" s="10"/>
      <c r="Y205" s="10"/>
      <c r="Z205" s="10"/>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0"/>
      <c r="BC205" s="10"/>
      <c r="BD205" s="10"/>
      <c r="BE205" s="10"/>
      <c r="BF205" s="10"/>
      <c r="BG205" s="10"/>
      <c r="BH205" s="10"/>
      <c r="BI205" s="10"/>
      <c r="BJ205" s="10"/>
      <c r="BK205" s="10"/>
      <c r="BL205" s="10"/>
      <c r="BM205" s="10"/>
      <c r="BN205" s="10"/>
      <c r="BO205" s="10"/>
      <c r="BP205" s="10"/>
      <c r="BQ205" s="10"/>
      <c r="BR205" s="10"/>
      <c r="BS205" s="10"/>
      <c r="BT205" s="10"/>
      <c r="BU205" s="10"/>
      <c r="BV205" s="10"/>
      <c r="BW205" s="10"/>
      <c r="BX205" s="10"/>
      <c r="BY205" s="10"/>
      <c r="BZ205" s="10"/>
      <c r="CA205" s="10"/>
      <c r="CB205" s="10"/>
      <c r="CC205" s="10"/>
      <c r="CD205" s="10"/>
      <c r="CE205" s="10"/>
      <c r="CF205" s="10"/>
      <c r="CG205" s="10"/>
      <c r="CH205" s="10"/>
      <c r="CI205" s="10"/>
      <c r="CJ205" s="10"/>
      <c r="CK205" s="10"/>
      <c r="CL205" s="10"/>
      <c r="CM205" s="10"/>
      <c r="CN205" s="10"/>
      <c r="CO205" s="10"/>
      <c r="CP205" s="10"/>
      <c r="CQ205" s="10"/>
      <c r="CR205" s="10"/>
      <c r="CS205" s="10"/>
      <c r="CT205" s="10"/>
      <c r="CU205" s="10"/>
      <c r="CV205" s="10"/>
      <c r="CW205" s="10"/>
      <c r="CX205" s="10"/>
      <c r="CY205" s="10"/>
      <c r="CZ205" s="10"/>
      <c r="DA205" s="10"/>
      <c r="DB205" s="10"/>
      <c r="DC205" s="10"/>
      <c r="DD205" s="10"/>
      <c r="DE205" s="10"/>
      <c r="DF205" s="10"/>
      <c r="DG205" s="10"/>
      <c r="DH205" s="10"/>
    </row>
    <row r="206" spans="1:112" ht="15.75" customHeight="1" x14ac:dyDescent="0.3">
      <c r="A206" s="13" t="s">
        <v>351</v>
      </c>
      <c r="B206" s="14">
        <v>45688</v>
      </c>
      <c r="C206" s="13" t="s">
        <v>43</v>
      </c>
      <c r="D206" s="13" t="s">
        <v>44</v>
      </c>
      <c r="E206" s="13" t="s">
        <v>118</v>
      </c>
      <c r="F206" s="13" t="s">
        <v>119</v>
      </c>
      <c r="G206" s="13" t="s">
        <v>20</v>
      </c>
      <c r="H206" s="13">
        <v>3</v>
      </c>
      <c r="I206" s="13">
        <v>89.99</v>
      </c>
      <c r="J206" s="13" t="s">
        <v>58</v>
      </c>
      <c r="K206" s="13" t="s">
        <v>36</v>
      </c>
      <c r="L206" s="13" t="s">
        <v>28</v>
      </c>
      <c r="M206" s="14">
        <v>45307</v>
      </c>
      <c r="N206" s="13">
        <v>269.97000000000003</v>
      </c>
      <c r="O206" s="10"/>
      <c r="P206" s="13"/>
      <c r="Q206" s="10"/>
      <c r="R206" s="17">
        <f t="shared" ca="1" si="11"/>
        <v>865</v>
      </c>
      <c r="S206" s="43">
        <f t="shared" si="9"/>
        <v>45688</v>
      </c>
      <c r="T206" s="44" t="str">
        <f t="shared" si="10"/>
        <v>Sou</v>
      </c>
      <c r="U206" s="13"/>
      <c r="V206" s="10"/>
      <c r="W206" s="10"/>
      <c r="X206" s="10"/>
      <c r="Y206" s="10"/>
      <c r="Z206" s="10"/>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0"/>
      <c r="BC206" s="10"/>
      <c r="BD206" s="10"/>
      <c r="BE206" s="10"/>
      <c r="BF206" s="10"/>
      <c r="BG206" s="10"/>
      <c r="BH206" s="10"/>
      <c r="BI206" s="10"/>
      <c r="BJ206" s="10"/>
      <c r="BK206" s="10"/>
      <c r="BL206" s="10"/>
      <c r="BM206" s="10"/>
      <c r="BN206" s="10"/>
      <c r="BO206" s="10"/>
      <c r="BP206" s="10"/>
      <c r="BQ206" s="10"/>
      <c r="BR206" s="10"/>
      <c r="BS206" s="10"/>
      <c r="BT206" s="10"/>
      <c r="BU206" s="10"/>
      <c r="BV206" s="10"/>
      <c r="BW206" s="10"/>
      <c r="BX206" s="10"/>
      <c r="BY206" s="10"/>
      <c r="BZ206" s="10"/>
      <c r="CA206" s="10"/>
      <c r="CB206" s="10"/>
      <c r="CC206" s="10"/>
      <c r="CD206" s="10"/>
      <c r="CE206" s="10"/>
      <c r="CF206" s="10"/>
      <c r="CG206" s="10"/>
      <c r="CH206" s="10"/>
      <c r="CI206" s="10"/>
      <c r="CJ206" s="10"/>
      <c r="CK206" s="10"/>
      <c r="CL206" s="10"/>
      <c r="CM206" s="10"/>
      <c r="CN206" s="10"/>
      <c r="CO206" s="10"/>
      <c r="CP206" s="10"/>
      <c r="CQ206" s="10"/>
      <c r="CR206" s="10"/>
      <c r="CS206" s="10"/>
      <c r="CT206" s="10"/>
      <c r="CU206" s="10"/>
      <c r="CV206" s="10"/>
      <c r="CW206" s="10"/>
      <c r="CX206" s="10"/>
      <c r="CY206" s="10"/>
      <c r="CZ206" s="10"/>
      <c r="DA206" s="10"/>
      <c r="DB206" s="10"/>
      <c r="DC206" s="10"/>
      <c r="DD206" s="10"/>
      <c r="DE206" s="10"/>
      <c r="DF206" s="10"/>
      <c r="DG206" s="10"/>
      <c r="DH206" s="10"/>
    </row>
    <row r="207" spans="1:112" ht="15.75" customHeight="1" x14ac:dyDescent="0.3">
      <c r="A207" s="13" t="s">
        <v>352</v>
      </c>
      <c r="B207" s="14">
        <v>45692</v>
      </c>
      <c r="C207" s="13" t="s">
        <v>326</v>
      </c>
      <c r="D207" s="13" t="s">
        <v>327</v>
      </c>
      <c r="E207" s="13" t="s">
        <v>32</v>
      </c>
      <c r="F207" s="13" t="s">
        <v>33</v>
      </c>
      <c r="G207" s="13" t="s">
        <v>34</v>
      </c>
      <c r="H207" s="13">
        <v>1</v>
      </c>
      <c r="I207" s="13">
        <v>59.99</v>
      </c>
      <c r="J207" s="13" t="s">
        <v>58</v>
      </c>
      <c r="K207" s="13" t="s">
        <v>22</v>
      </c>
      <c r="L207" s="13" t="s">
        <v>37</v>
      </c>
      <c r="M207" s="14">
        <v>45045</v>
      </c>
      <c r="N207" s="13">
        <v>59.99</v>
      </c>
      <c r="O207" s="10"/>
      <c r="P207" s="13"/>
      <c r="Q207" s="10"/>
      <c r="R207" s="17">
        <f t="shared" ca="1" si="11"/>
        <v>1127</v>
      </c>
      <c r="S207" s="43">
        <f t="shared" si="9"/>
        <v>45716</v>
      </c>
      <c r="T207" s="44" t="str">
        <f t="shared" si="10"/>
        <v>Cen</v>
      </c>
      <c r="U207" s="13"/>
      <c r="V207" s="10"/>
      <c r="W207" s="10"/>
      <c r="X207" s="10"/>
      <c r="Y207" s="10"/>
      <c r="Z207" s="10"/>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0"/>
      <c r="BC207" s="10"/>
      <c r="BD207" s="10"/>
      <c r="BE207" s="10"/>
      <c r="BF207" s="10"/>
      <c r="BG207" s="10"/>
      <c r="BH207" s="10"/>
      <c r="BI207" s="10"/>
      <c r="BJ207" s="10"/>
      <c r="BK207" s="10"/>
      <c r="BL207" s="10"/>
      <c r="BM207" s="10"/>
      <c r="BN207" s="10"/>
      <c r="BO207" s="10"/>
      <c r="BP207" s="10"/>
      <c r="BQ207" s="10"/>
      <c r="BR207" s="10"/>
      <c r="BS207" s="10"/>
      <c r="BT207" s="10"/>
      <c r="BU207" s="10"/>
      <c r="BV207" s="10"/>
      <c r="BW207" s="10"/>
      <c r="BX207" s="10"/>
      <c r="BY207" s="10"/>
      <c r="BZ207" s="10"/>
      <c r="CA207" s="10"/>
      <c r="CB207" s="10"/>
      <c r="CC207" s="10"/>
      <c r="CD207" s="10"/>
      <c r="CE207" s="10"/>
      <c r="CF207" s="10"/>
      <c r="CG207" s="10"/>
      <c r="CH207" s="10"/>
      <c r="CI207" s="10"/>
      <c r="CJ207" s="10"/>
      <c r="CK207" s="10"/>
      <c r="CL207" s="10"/>
      <c r="CM207" s="10"/>
      <c r="CN207" s="10"/>
      <c r="CO207" s="10"/>
      <c r="CP207" s="10"/>
      <c r="CQ207" s="10"/>
      <c r="CR207" s="10"/>
      <c r="CS207" s="10"/>
      <c r="CT207" s="10"/>
      <c r="CU207" s="10"/>
      <c r="CV207" s="10"/>
      <c r="CW207" s="10"/>
      <c r="CX207" s="10"/>
      <c r="CY207" s="10"/>
      <c r="CZ207" s="10"/>
      <c r="DA207" s="10"/>
      <c r="DB207" s="10"/>
      <c r="DC207" s="10"/>
      <c r="DD207" s="10"/>
      <c r="DE207" s="10"/>
      <c r="DF207" s="10"/>
      <c r="DG207" s="10"/>
      <c r="DH207" s="10"/>
    </row>
    <row r="208" spans="1:112" ht="15.75" customHeight="1" x14ac:dyDescent="0.3">
      <c r="A208" s="13" t="s">
        <v>353</v>
      </c>
      <c r="B208" s="14">
        <v>45695</v>
      </c>
      <c r="C208" s="13" t="s">
        <v>247</v>
      </c>
      <c r="D208" s="13" t="s">
        <v>248</v>
      </c>
      <c r="E208" s="13" t="s">
        <v>45</v>
      </c>
      <c r="F208" s="13" t="s">
        <v>46</v>
      </c>
      <c r="G208" s="13" t="s">
        <v>47</v>
      </c>
      <c r="H208" s="13">
        <v>3</v>
      </c>
      <c r="I208" s="13">
        <v>149.99</v>
      </c>
      <c r="J208" s="13" t="s">
        <v>58</v>
      </c>
      <c r="K208" s="13" t="s">
        <v>41</v>
      </c>
      <c r="L208" s="13" t="s">
        <v>28</v>
      </c>
      <c r="M208" s="14">
        <v>44564</v>
      </c>
      <c r="N208" s="13">
        <v>449.97</v>
      </c>
      <c r="O208" s="10"/>
      <c r="P208" s="13"/>
      <c r="Q208" s="10"/>
      <c r="R208" s="17">
        <f t="shared" ca="1" si="11"/>
        <v>1608</v>
      </c>
      <c r="S208" s="43">
        <f t="shared" si="9"/>
        <v>45716</v>
      </c>
      <c r="T208" s="44" t="str">
        <f t="shared" si="10"/>
        <v>Nor</v>
      </c>
      <c r="U208" s="13"/>
      <c r="V208" s="10"/>
      <c r="W208" s="10"/>
      <c r="X208" s="10"/>
      <c r="Y208" s="10"/>
      <c r="Z208" s="10"/>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0"/>
      <c r="BC208" s="10"/>
      <c r="BD208" s="10"/>
      <c r="BE208" s="10"/>
      <c r="BF208" s="10"/>
      <c r="BG208" s="10"/>
      <c r="BH208" s="10"/>
      <c r="BI208" s="10"/>
      <c r="BJ208" s="10"/>
      <c r="BK208" s="10"/>
      <c r="BL208" s="10"/>
      <c r="BM208" s="10"/>
      <c r="BN208" s="10"/>
      <c r="BO208" s="10"/>
      <c r="BP208" s="10"/>
      <c r="BQ208" s="10"/>
      <c r="BR208" s="10"/>
      <c r="BS208" s="10"/>
      <c r="BT208" s="10"/>
      <c r="BU208" s="10"/>
      <c r="BV208" s="10"/>
      <c r="BW208" s="10"/>
      <c r="BX208" s="10"/>
      <c r="BY208" s="10"/>
      <c r="BZ208" s="10"/>
      <c r="CA208" s="10"/>
      <c r="CB208" s="10"/>
      <c r="CC208" s="10"/>
      <c r="CD208" s="10"/>
      <c r="CE208" s="10"/>
      <c r="CF208" s="10"/>
      <c r="CG208" s="10"/>
      <c r="CH208" s="10"/>
      <c r="CI208" s="10"/>
      <c r="CJ208" s="10"/>
      <c r="CK208" s="10"/>
      <c r="CL208" s="10"/>
      <c r="CM208" s="10"/>
      <c r="CN208" s="10"/>
      <c r="CO208" s="10"/>
      <c r="CP208" s="10"/>
      <c r="CQ208" s="10"/>
      <c r="CR208" s="10"/>
      <c r="CS208" s="10"/>
      <c r="CT208" s="10"/>
      <c r="CU208" s="10"/>
      <c r="CV208" s="10"/>
      <c r="CW208" s="10"/>
      <c r="CX208" s="10"/>
      <c r="CY208" s="10"/>
      <c r="CZ208" s="10"/>
      <c r="DA208" s="10"/>
      <c r="DB208" s="10"/>
      <c r="DC208" s="10"/>
      <c r="DD208" s="10"/>
      <c r="DE208" s="10"/>
      <c r="DF208" s="10"/>
      <c r="DG208" s="10"/>
      <c r="DH208" s="10"/>
    </row>
    <row r="209" spans="1:112" ht="15.75" customHeight="1" x14ac:dyDescent="0.3">
      <c r="A209" s="13" t="s">
        <v>354</v>
      </c>
      <c r="B209" s="14">
        <v>45695</v>
      </c>
      <c r="C209" s="13" t="s">
        <v>94</v>
      </c>
      <c r="D209" s="13" t="s">
        <v>95</v>
      </c>
      <c r="E209" s="13" t="s">
        <v>106</v>
      </c>
      <c r="F209" s="13" t="s">
        <v>107</v>
      </c>
      <c r="G209" s="13" t="s">
        <v>47</v>
      </c>
      <c r="H209" s="13">
        <v>5</v>
      </c>
      <c r="I209" s="13">
        <v>299.99</v>
      </c>
      <c r="J209" s="13" t="s">
        <v>27</v>
      </c>
      <c r="K209" s="13" t="s">
        <v>36</v>
      </c>
      <c r="L209" s="13" t="s">
        <v>23</v>
      </c>
      <c r="M209" s="14">
        <v>44959</v>
      </c>
      <c r="N209" s="13">
        <v>1499.95</v>
      </c>
      <c r="O209" s="10"/>
      <c r="P209" s="13"/>
      <c r="Q209" s="10"/>
      <c r="R209" s="17">
        <f t="shared" ca="1" si="11"/>
        <v>1213</v>
      </c>
      <c r="S209" s="43">
        <f t="shared" si="9"/>
        <v>45716</v>
      </c>
      <c r="T209" s="44" t="str">
        <f t="shared" si="10"/>
        <v>Sou</v>
      </c>
      <c r="U209" s="13"/>
      <c r="V209" s="10"/>
      <c r="W209" s="10"/>
      <c r="X209" s="10"/>
      <c r="Y209" s="10"/>
      <c r="Z209" s="10"/>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0"/>
      <c r="BC209" s="10"/>
      <c r="BD209" s="10"/>
      <c r="BE209" s="10"/>
      <c r="BF209" s="10"/>
      <c r="BG209" s="10"/>
      <c r="BH209" s="10"/>
      <c r="BI209" s="10"/>
      <c r="BJ209" s="10"/>
      <c r="BK209" s="10"/>
      <c r="BL209" s="10"/>
      <c r="BM209" s="10"/>
      <c r="BN209" s="10"/>
      <c r="BO209" s="10"/>
      <c r="BP209" s="10"/>
      <c r="BQ209" s="10"/>
      <c r="BR209" s="10"/>
      <c r="BS209" s="10"/>
      <c r="BT209" s="10"/>
      <c r="BU209" s="10"/>
      <c r="BV209" s="10"/>
      <c r="BW209" s="10"/>
      <c r="BX209" s="10"/>
      <c r="BY209" s="10"/>
      <c r="BZ209" s="10"/>
      <c r="CA209" s="10"/>
      <c r="CB209" s="10"/>
      <c r="CC209" s="10"/>
      <c r="CD209" s="10"/>
      <c r="CE209" s="10"/>
      <c r="CF209" s="10"/>
      <c r="CG209" s="10"/>
      <c r="CH209" s="10"/>
      <c r="CI209" s="10"/>
      <c r="CJ209" s="10"/>
      <c r="CK209" s="10"/>
      <c r="CL209" s="10"/>
      <c r="CM209" s="10"/>
      <c r="CN209" s="10"/>
      <c r="CO209" s="10"/>
      <c r="CP209" s="10"/>
      <c r="CQ209" s="10"/>
      <c r="CR209" s="10"/>
      <c r="CS209" s="10"/>
      <c r="CT209" s="10"/>
      <c r="CU209" s="10"/>
      <c r="CV209" s="10"/>
      <c r="CW209" s="10"/>
      <c r="CX209" s="10"/>
      <c r="CY209" s="10"/>
      <c r="CZ209" s="10"/>
      <c r="DA209" s="10"/>
      <c r="DB209" s="10"/>
      <c r="DC209" s="10"/>
      <c r="DD209" s="10"/>
      <c r="DE209" s="10"/>
      <c r="DF209" s="10"/>
      <c r="DG209" s="10"/>
      <c r="DH209" s="10"/>
    </row>
    <row r="210" spans="1:112" ht="15.75" customHeight="1" x14ac:dyDescent="0.3">
      <c r="A210" s="13" t="s">
        <v>355</v>
      </c>
      <c r="B210" s="14">
        <v>45696</v>
      </c>
      <c r="C210" s="13" t="s">
        <v>151</v>
      </c>
      <c r="D210" s="13" t="s">
        <v>152</v>
      </c>
      <c r="E210" s="13" t="s">
        <v>32</v>
      </c>
      <c r="F210" s="13" t="s">
        <v>33</v>
      </c>
      <c r="G210" s="13" t="s">
        <v>34</v>
      </c>
      <c r="H210" s="13">
        <v>5</v>
      </c>
      <c r="I210" s="13">
        <v>59.99</v>
      </c>
      <c r="J210" s="13" t="s">
        <v>58</v>
      </c>
      <c r="K210" s="13" t="s">
        <v>22</v>
      </c>
      <c r="L210" s="13" t="s">
        <v>37</v>
      </c>
      <c r="M210" s="14">
        <v>45177</v>
      </c>
      <c r="N210" s="13">
        <v>299.95</v>
      </c>
      <c r="O210" s="10"/>
      <c r="P210" s="13"/>
      <c r="Q210" s="10"/>
      <c r="R210" s="17">
        <f t="shared" ca="1" si="11"/>
        <v>995</v>
      </c>
      <c r="S210" s="43">
        <f t="shared" si="9"/>
        <v>45716</v>
      </c>
      <c r="T210" s="44" t="str">
        <f t="shared" si="10"/>
        <v>Cen</v>
      </c>
      <c r="U210" s="13"/>
      <c r="V210" s="10"/>
      <c r="W210" s="10"/>
      <c r="X210" s="10"/>
      <c r="Y210" s="10"/>
      <c r="Z210" s="10"/>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0"/>
      <c r="BC210" s="10"/>
      <c r="BD210" s="10"/>
      <c r="BE210" s="10"/>
      <c r="BF210" s="10"/>
      <c r="BG210" s="10"/>
      <c r="BH210" s="10"/>
      <c r="BI210" s="10"/>
      <c r="BJ210" s="10"/>
      <c r="BK210" s="10"/>
      <c r="BL210" s="10"/>
      <c r="BM210" s="10"/>
      <c r="BN210" s="10"/>
      <c r="BO210" s="10"/>
      <c r="BP210" s="10"/>
      <c r="BQ210" s="10"/>
      <c r="BR210" s="10"/>
      <c r="BS210" s="10"/>
      <c r="BT210" s="10"/>
      <c r="BU210" s="10"/>
      <c r="BV210" s="10"/>
      <c r="BW210" s="10"/>
      <c r="BX210" s="10"/>
      <c r="BY210" s="10"/>
      <c r="BZ210" s="10"/>
      <c r="CA210" s="10"/>
      <c r="CB210" s="10"/>
      <c r="CC210" s="10"/>
      <c r="CD210" s="10"/>
      <c r="CE210" s="10"/>
      <c r="CF210" s="10"/>
      <c r="CG210" s="10"/>
      <c r="CH210" s="10"/>
      <c r="CI210" s="10"/>
      <c r="CJ210" s="10"/>
      <c r="CK210" s="10"/>
      <c r="CL210" s="10"/>
      <c r="CM210" s="10"/>
      <c r="CN210" s="10"/>
      <c r="CO210" s="10"/>
      <c r="CP210" s="10"/>
      <c r="CQ210" s="10"/>
      <c r="CR210" s="10"/>
      <c r="CS210" s="10"/>
      <c r="CT210" s="10"/>
      <c r="CU210" s="10"/>
      <c r="CV210" s="10"/>
      <c r="CW210" s="10"/>
      <c r="CX210" s="10"/>
      <c r="CY210" s="10"/>
      <c r="CZ210" s="10"/>
      <c r="DA210" s="10"/>
      <c r="DB210" s="10"/>
      <c r="DC210" s="10"/>
      <c r="DD210" s="10"/>
      <c r="DE210" s="10"/>
      <c r="DF210" s="10"/>
      <c r="DG210" s="10"/>
      <c r="DH210" s="10"/>
    </row>
    <row r="211" spans="1:112" ht="15.75" customHeight="1" x14ac:dyDescent="0.3">
      <c r="A211" s="13" t="s">
        <v>356</v>
      </c>
      <c r="B211" s="14">
        <v>45701</v>
      </c>
      <c r="C211" s="13" t="s">
        <v>109</v>
      </c>
      <c r="D211" s="13" t="s">
        <v>110</v>
      </c>
      <c r="E211" s="13" t="s">
        <v>115</v>
      </c>
      <c r="F211" s="13" t="s">
        <v>116</v>
      </c>
      <c r="G211" s="13" t="s">
        <v>34</v>
      </c>
      <c r="H211" s="13">
        <v>3</v>
      </c>
      <c r="I211" s="13">
        <v>79.989999999999995</v>
      </c>
      <c r="J211" s="13" t="s">
        <v>21</v>
      </c>
      <c r="K211" s="13" t="s">
        <v>64</v>
      </c>
      <c r="L211" s="13" t="s">
        <v>28</v>
      </c>
      <c r="M211" s="14">
        <v>44436</v>
      </c>
      <c r="N211" s="13">
        <v>239.97</v>
      </c>
      <c r="O211" s="10"/>
      <c r="P211" s="13"/>
      <c r="Q211" s="10"/>
      <c r="R211" s="17">
        <f t="shared" ca="1" si="11"/>
        <v>1736</v>
      </c>
      <c r="S211" s="43">
        <f t="shared" si="9"/>
        <v>45716</v>
      </c>
      <c r="T211" s="44" t="str">
        <f t="shared" si="10"/>
        <v>Eas</v>
      </c>
      <c r="U211" s="13"/>
      <c r="V211" s="10"/>
      <c r="W211" s="10"/>
      <c r="X211" s="10"/>
      <c r="Y211" s="10"/>
      <c r="Z211" s="10"/>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0"/>
      <c r="BC211" s="10"/>
      <c r="BD211" s="10"/>
      <c r="BE211" s="10"/>
      <c r="BF211" s="10"/>
      <c r="BG211" s="10"/>
      <c r="BH211" s="10"/>
      <c r="BI211" s="10"/>
      <c r="BJ211" s="10"/>
      <c r="BK211" s="10"/>
      <c r="BL211" s="10"/>
      <c r="BM211" s="10"/>
      <c r="BN211" s="10"/>
      <c r="BO211" s="10"/>
      <c r="BP211" s="10"/>
      <c r="BQ211" s="10"/>
      <c r="BR211" s="10"/>
      <c r="BS211" s="10"/>
      <c r="BT211" s="10"/>
      <c r="BU211" s="10"/>
      <c r="BV211" s="10"/>
      <c r="BW211" s="10"/>
      <c r="BX211" s="10"/>
      <c r="BY211" s="10"/>
      <c r="BZ211" s="10"/>
      <c r="CA211" s="10"/>
      <c r="CB211" s="10"/>
      <c r="CC211" s="10"/>
      <c r="CD211" s="10"/>
      <c r="CE211" s="10"/>
      <c r="CF211" s="10"/>
      <c r="CG211" s="10"/>
      <c r="CH211" s="10"/>
      <c r="CI211" s="10"/>
      <c r="CJ211" s="10"/>
      <c r="CK211" s="10"/>
      <c r="CL211" s="10"/>
      <c r="CM211" s="10"/>
      <c r="CN211" s="10"/>
      <c r="CO211" s="10"/>
      <c r="CP211" s="10"/>
      <c r="CQ211" s="10"/>
      <c r="CR211" s="10"/>
      <c r="CS211" s="10"/>
      <c r="CT211" s="10"/>
      <c r="CU211" s="10"/>
      <c r="CV211" s="10"/>
      <c r="CW211" s="10"/>
      <c r="CX211" s="10"/>
      <c r="CY211" s="10"/>
      <c r="CZ211" s="10"/>
      <c r="DA211" s="10"/>
      <c r="DB211" s="10"/>
      <c r="DC211" s="10"/>
      <c r="DD211" s="10"/>
      <c r="DE211" s="10"/>
      <c r="DF211" s="10"/>
      <c r="DG211" s="10"/>
      <c r="DH211" s="10"/>
    </row>
    <row r="212" spans="1:112" ht="15.75" customHeight="1" x14ac:dyDescent="0.3">
      <c r="A212" s="13" t="s">
        <v>357</v>
      </c>
      <c r="B212" s="14">
        <v>45704</v>
      </c>
      <c r="C212" s="13" t="s">
        <v>30</v>
      </c>
      <c r="D212" s="13" t="s">
        <v>31</v>
      </c>
      <c r="E212" s="13" t="s">
        <v>127</v>
      </c>
      <c r="F212" s="13" t="s">
        <v>128</v>
      </c>
      <c r="G212" s="13" t="s">
        <v>47</v>
      </c>
      <c r="H212" s="13">
        <v>3</v>
      </c>
      <c r="I212" s="13">
        <v>199.99</v>
      </c>
      <c r="J212" s="13" t="s">
        <v>21</v>
      </c>
      <c r="K212" s="13" t="s">
        <v>22</v>
      </c>
      <c r="L212" s="13" t="s">
        <v>23</v>
      </c>
      <c r="M212" s="14">
        <v>44735</v>
      </c>
      <c r="N212" s="13">
        <v>599.97</v>
      </c>
      <c r="O212" s="10"/>
      <c r="P212" s="13"/>
      <c r="Q212" s="10"/>
      <c r="R212" s="17">
        <f t="shared" ca="1" si="11"/>
        <v>1437</v>
      </c>
      <c r="S212" s="43">
        <f t="shared" si="9"/>
        <v>45716</v>
      </c>
      <c r="T212" s="44" t="str">
        <f t="shared" si="10"/>
        <v>Cen</v>
      </c>
      <c r="U212" s="13"/>
      <c r="V212" s="10"/>
      <c r="W212" s="10"/>
      <c r="X212" s="10"/>
      <c r="Y212" s="10"/>
      <c r="Z212" s="10"/>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0"/>
      <c r="BC212" s="10"/>
      <c r="BD212" s="10"/>
      <c r="BE212" s="10"/>
      <c r="BF212" s="10"/>
      <c r="BG212" s="10"/>
      <c r="BH212" s="10"/>
      <c r="BI212" s="10"/>
      <c r="BJ212" s="10"/>
      <c r="BK212" s="10"/>
      <c r="BL212" s="10"/>
      <c r="BM212" s="10"/>
      <c r="BN212" s="10"/>
      <c r="BO212" s="10"/>
      <c r="BP212" s="10"/>
      <c r="BQ212" s="10"/>
      <c r="BR212" s="10"/>
      <c r="BS212" s="10"/>
      <c r="BT212" s="10"/>
      <c r="BU212" s="10"/>
      <c r="BV212" s="10"/>
      <c r="BW212" s="10"/>
      <c r="BX212" s="10"/>
      <c r="BY212" s="10"/>
      <c r="BZ212" s="10"/>
      <c r="CA212" s="10"/>
      <c r="CB212" s="10"/>
      <c r="CC212" s="10"/>
      <c r="CD212" s="10"/>
      <c r="CE212" s="10"/>
      <c r="CF212" s="10"/>
      <c r="CG212" s="10"/>
      <c r="CH212" s="10"/>
      <c r="CI212" s="10"/>
      <c r="CJ212" s="10"/>
      <c r="CK212" s="10"/>
      <c r="CL212" s="10"/>
      <c r="CM212" s="10"/>
      <c r="CN212" s="10"/>
      <c r="CO212" s="10"/>
      <c r="CP212" s="10"/>
      <c r="CQ212" s="10"/>
      <c r="CR212" s="10"/>
      <c r="CS212" s="10"/>
      <c r="CT212" s="10"/>
      <c r="CU212" s="10"/>
      <c r="CV212" s="10"/>
      <c r="CW212" s="10"/>
      <c r="CX212" s="10"/>
      <c r="CY212" s="10"/>
      <c r="CZ212" s="10"/>
      <c r="DA212" s="10"/>
      <c r="DB212" s="10"/>
      <c r="DC212" s="10"/>
      <c r="DD212" s="10"/>
      <c r="DE212" s="10"/>
      <c r="DF212" s="10"/>
      <c r="DG212" s="10"/>
      <c r="DH212" s="10"/>
    </row>
    <row r="213" spans="1:112" ht="15.75" customHeight="1" x14ac:dyDescent="0.3">
      <c r="A213" s="13" t="s">
        <v>358</v>
      </c>
      <c r="B213" s="14">
        <v>45704</v>
      </c>
      <c r="C213" s="13" t="s">
        <v>16</v>
      </c>
      <c r="D213" s="13" t="s">
        <v>17</v>
      </c>
      <c r="E213" s="13" t="s">
        <v>118</v>
      </c>
      <c r="F213" s="13" t="s">
        <v>119</v>
      </c>
      <c r="G213" s="13" t="s">
        <v>20</v>
      </c>
      <c r="H213" s="13">
        <v>2</v>
      </c>
      <c r="I213" s="13">
        <v>89.99</v>
      </c>
      <c r="J213" s="13" t="s">
        <v>35</v>
      </c>
      <c r="K213" s="13" t="s">
        <v>22</v>
      </c>
      <c r="L213" s="13" t="s">
        <v>23</v>
      </c>
      <c r="M213" s="14">
        <v>45257</v>
      </c>
      <c r="N213" s="13">
        <v>179.98</v>
      </c>
      <c r="O213" s="10"/>
      <c r="P213" s="13"/>
      <c r="Q213" s="10"/>
      <c r="R213" s="17">
        <f t="shared" ca="1" si="11"/>
        <v>915</v>
      </c>
      <c r="S213" s="43">
        <f t="shared" si="9"/>
        <v>45716</v>
      </c>
      <c r="T213" s="44" t="str">
        <f t="shared" si="10"/>
        <v>Cen</v>
      </c>
      <c r="U213" s="13"/>
      <c r="V213" s="10"/>
      <c r="W213" s="10"/>
      <c r="X213" s="10"/>
      <c r="Y213" s="10"/>
      <c r="Z213" s="10"/>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0"/>
      <c r="BC213" s="10"/>
      <c r="BD213" s="10"/>
      <c r="BE213" s="10"/>
      <c r="BF213" s="10"/>
      <c r="BG213" s="10"/>
      <c r="BH213" s="10"/>
      <c r="BI213" s="10"/>
      <c r="BJ213" s="10"/>
      <c r="BK213" s="10"/>
      <c r="BL213" s="10"/>
      <c r="BM213" s="10"/>
      <c r="BN213" s="10"/>
      <c r="BO213" s="10"/>
      <c r="BP213" s="10"/>
      <c r="BQ213" s="10"/>
      <c r="BR213" s="10"/>
      <c r="BS213" s="10"/>
      <c r="BT213" s="10"/>
      <c r="BU213" s="10"/>
      <c r="BV213" s="10"/>
      <c r="BW213" s="10"/>
      <c r="BX213" s="10"/>
      <c r="BY213" s="10"/>
      <c r="BZ213" s="10"/>
      <c r="CA213" s="10"/>
      <c r="CB213" s="10"/>
      <c r="CC213" s="10"/>
      <c r="CD213" s="10"/>
      <c r="CE213" s="10"/>
      <c r="CF213" s="10"/>
      <c r="CG213" s="10"/>
      <c r="CH213" s="10"/>
      <c r="CI213" s="10"/>
      <c r="CJ213" s="10"/>
      <c r="CK213" s="10"/>
      <c r="CL213" s="10"/>
      <c r="CM213" s="10"/>
      <c r="CN213" s="10"/>
      <c r="CO213" s="10"/>
      <c r="CP213" s="10"/>
      <c r="CQ213" s="10"/>
      <c r="CR213" s="10"/>
      <c r="CS213" s="10"/>
      <c r="CT213" s="10"/>
      <c r="CU213" s="10"/>
      <c r="CV213" s="10"/>
      <c r="CW213" s="10"/>
      <c r="CX213" s="10"/>
      <c r="CY213" s="10"/>
      <c r="CZ213" s="10"/>
      <c r="DA213" s="10"/>
      <c r="DB213" s="10"/>
      <c r="DC213" s="10"/>
      <c r="DD213" s="10"/>
      <c r="DE213" s="10"/>
      <c r="DF213" s="10"/>
      <c r="DG213" s="10"/>
      <c r="DH213" s="10"/>
    </row>
    <row r="214" spans="1:112" ht="15.75" customHeight="1" x14ac:dyDescent="0.3">
      <c r="A214" s="13" t="s">
        <v>359</v>
      </c>
      <c r="B214" s="14">
        <v>45705</v>
      </c>
      <c r="C214" s="13" t="s">
        <v>260</v>
      </c>
      <c r="D214" s="13" t="s">
        <v>261</v>
      </c>
      <c r="E214" s="13" t="s">
        <v>45</v>
      </c>
      <c r="F214" s="13" t="s">
        <v>46</v>
      </c>
      <c r="G214" s="13" t="s">
        <v>47</v>
      </c>
      <c r="H214" s="13">
        <v>2</v>
      </c>
      <c r="I214" s="13">
        <v>149.99</v>
      </c>
      <c r="J214" s="13" t="s">
        <v>21</v>
      </c>
      <c r="K214" s="13" t="s">
        <v>36</v>
      </c>
      <c r="L214" s="13" t="s">
        <v>28</v>
      </c>
      <c r="M214" s="14">
        <v>44728</v>
      </c>
      <c r="N214" s="13">
        <v>299.98</v>
      </c>
      <c r="O214" s="10"/>
      <c r="P214" s="13"/>
      <c r="Q214" s="10"/>
      <c r="R214" s="17">
        <f t="shared" ca="1" si="11"/>
        <v>1444</v>
      </c>
      <c r="S214" s="43">
        <f t="shared" si="9"/>
        <v>45716</v>
      </c>
      <c r="T214" s="44" t="str">
        <f t="shared" si="10"/>
        <v>Sou</v>
      </c>
      <c r="U214" s="13"/>
      <c r="V214" s="10"/>
      <c r="W214" s="10"/>
      <c r="X214" s="10"/>
      <c r="Y214" s="10"/>
      <c r="Z214" s="10"/>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0"/>
      <c r="BC214" s="10"/>
      <c r="BD214" s="10"/>
      <c r="BE214" s="10"/>
      <c r="BF214" s="10"/>
      <c r="BG214" s="10"/>
      <c r="BH214" s="10"/>
      <c r="BI214" s="10"/>
      <c r="BJ214" s="10"/>
      <c r="BK214" s="10"/>
      <c r="BL214" s="10"/>
      <c r="BM214" s="10"/>
      <c r="BN214" s="10"/>
      <c r="BO214" s="10"/>
      <c r="BP214" s="10"/>
      <c r="BQ214" s="10"/>
      <c r="BR214" s="10"/>
      <c r="BS214" s="10"/>
      <c r="BT214" s="10"/>
      <c r="BU214" s="10"/>
      <c r="BV214" s="10"/>
      <c r="BW214" s="10"/>
      <c r="BX214" s="10"/>
      <c r="BY214" s="10"/>
      <c r="BZ214" s="10"/>
      <c r="CA214" s="10"/>
      <c r="CB214" s="10"/>
      <c r="CC214" s="10"/>
      <c r="CD214" s="10"/>
      <c r="CE214" s="10"/>
      <c r="CF214" s="10"/>
      <c r="CG214" s="10"/>
      <c r="CH214" s="10"/>
      <c r="CI214" s="10"/>
      <c r="CJ214" s="10"/>
      <c r="CK214" s="10"/>
      <c r="CL214" s="10"/>
      <c r="CM214" s="10"/>
      <c r="CN214" s="10"/>
      <c r="CO214" s="10"/>
      <c r="CP214" s="10"/>
      <c r="CQ214" s="10"/>
      <c r="CR214" s="10"/>
      <c r="CS214" s="10"/>
      <c r="CT214" s="10"/>
      <c r="CU214" s="10"/>
      <c r="CV214" s="10"/>
      <c r="CW214" s="10"/>
      <c r="CX214" s="10"/>
      <c r="CY214" s="10"/>
      <c r="CZ214" s="10"/>
      <c r="DA214" s="10"/>
      <c r="DB214" s="10"/>
      <c r="DC214" s="10"/>
      <c r="DD214" s="10"/>
      <c r="DE214" s="10"/>
      <c r="DF214" s="10"/>
      <c r="DG214" s="10"/>
      <c r="DH214" s="10"/>
    </row>
    <row r="215" spans="1:112" ht="15.75" customHeight="1" x14ac:dyDescent="0.3">
      <c r="A215" s="13" t="s">
        <v>360</v>
      </c>
      <c r="B215" s="14">
        <v>45707</v>
      </c>
      <c r="C215" s="13" t="s">
        <v>124</v>
      </c>
      <c r="D215" s="13" t="s">
        <v>125</v>
      </c>
      <c r="E215" s="13" t="s">
        <v>81</v>
      </c>
      <c r="F215" s="13" t="s">
        <v>82</v>
      </c>
      <c r="G215" s="13" t="s">
        <v>20</v>
      </c>
      <c r="H215" s="13">
        <v>5</v>
      </c>
      <c r="I215" s="13">
        <v>699.99</v>
      </c>
      <c r="J215" s="13" t="s">
        <v>35</v>
      </c>
      <c r="K215" s="13" t="s">
        <v>36</v>
      </c>
      <c r="L215" s="13" t="s">
        <v>28</v>
      </c>
      <c r="M215" s="14">
        <v>45352</v>
      </c>
      <c r="N215" s="13">
        <v>3499.95</v>
      </c>
      <c r="O215" s="10"/>
      <c r="P215" s="13"/>
      <c r="Q215" s="10"/>
      <c r="R215" s="17">
        <f t="shared" ca="1" si="11"/>
        <v>820</v>
      </c>
      <c r="S215" s="43">
        <f t="shared" si="9"/>
        <v>45716</v>
      </c>
      <c r="T215" s="44" t="str">
        <f t="shared" si="10"/>
        <v>Sou</v>
      </c>
      <c r="U215" s="13"/>
      <c r="V215" s="10"/>
      <c r="W215" s="10"/>
      <c r="X215" s="10"/>
      <c r="Y215" s="10"/>
      <c r="Z215" s="10"/>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0"/>
      <c r="BC215" s="10"/>
      <c r="BD215" s="10"/>
      <c r="BE215" s="10"/>
      <c r="BF215" s="10"/>
      <c r="BG215" s="10"/>
      <c r="BH215" s="10"/>
      <c r="BI215" s="10"/>
      <c r="BJ215" s="10"/>
      <c r="BK215" s="10"/>
      <c r="BL215" s="10"/>
      <c r="BM215" s="10"/>
      <c r="BN215" s="10"/>
      <c r="BO215" s="10"/>
      <c r="BP215" s="10"/>
      <c r="BQ215" s="10"/>
      <c r="BR215" s="10"/>
      <c r="BS215" s="10"/>
      <c r="BT215" s="10"/>
      <c r="BU215" s="10"/>
      <c r="BV215" s="10"/>
      <c r="BW215" s="10"/>
      <c r="BX215" s="10"/>
      <c r="BY215" s="10"/>
      <c r="BZ215" s="10"/>
      <c r="CA215" s="10"/>
      <c r="CB215" s="10"/>
      <c r="CC215" s="10"/>
      <c r="CD215" s="10"/>
      <c r="CE215" s="10"/>
      <c r="CF215" s="10"/>
      <c r="CG215" s="10"/>
      <c r="CH215" s="10"/>
      <c r="CI215" s="10"/>
      <c r="CJ215" s="10"/>
      <c r="CK215" s="10"/>
      <c r="CL215" s="10"/>
      <c r="CM215" s="10"/>
      <c r="CN215" s="10"/>
      <c r="CO215" s="10"/>
      <c r="CP215" s="10"/>
      <c r="CQ215" s="10"/>
      <c r="CR215" s="10"/>
      <c r="CS215" s="10"/>
      <c r="CT215" s="10"/>
      <c r="CU215" s="10"/>
      <c r="CV215" s="10"/>
      <c r="CW215" s="10"/>
      <c r="CX215" s="10"/>
      <c r="CY215" s="10"/>
      <c r="CZ215" s="10"/>
      <c r="DA215" s="10"/>
      <c r="DB215" s="10"/>
      <c r="DC215" s="10"/>
      <c r="DD215" s="10"/>
      <c r="DE215" s="10"/>
      <c r="DF215" s="10"/>
      <c r="DG215" s="10"/>
      <c r="DH215" s="10"/>
    </row>
    <row r="216" spans="1:112" ht="15.75" customHeight="1" x14ac:dyDescent="0.3">
      <c r="A216" s="13" t="s">
        <v>361</v>
      </c>
      <c r="B216" s="14">
        <v>45707</v>
      </c>
      <c r="C216" s="13" t="s">
        <v>43</v>
      </c>
      <c r="D216" s="13" t="s">
        <v>44</v>
      </c>
      <c r="E216" s="13" t="s">
        <v>45</v>
      </c>
      <c r="F216" s="13" t="s">
        <v>46</v>
      </c>
      <c r="G216" s="13" t="s">
        <v>47</v>
      </c>
      <c r="H216" s="13">
        <v>3</v>
      </c>
      <c r="I216" s="13">
        <v>149.99</v>
      </c>
      <c r="J216" s="13" t="s">
        <v>35</v>
      </c>
      <c r="K216" s="13" t="s">
        <v>22</v>
      </c>
      <c r="L216" s="13" t="s">
        <v>37</v>
      </c>
      <c r="M216" s="14">
        <v>44633</v>
      </c>
      <c r="N216" s="13">
        <v>449.97</v>
      </c>
      <c r="O216" s="10"/>
      <c r="P216" s="13"/>
      <c r="Q216" s="10"/>
      <c r="R216" s="17">
        <f t="shared" ca="1" si="11"/>
        <v>1539</v>
      </c>
      <c r="S216" s="43">
        <f t="shared" si="9"/>
        <v>45716</v>
      </c>
      <c r="T216" s="44" t="str">
        <f t="shared" si="10"/>
        <v>Cen</v>
      </c>
      <c r="U216" s="13"/>
      <c r="V216" s="10"/>
      <c r="W216" s="10"/>
      <c r="X216" s="10"/>
      <c r="Y216" s="10"/>
      <c r="Z216" s="10"/>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0"/>
      <c r="BC216" s="10"/>
      <c r="BD216" s="10"/>
      <c r="BE216" s="10"/>
      <c r="BF216" s="10"/>
      <c r="BG216" s="10"/>
      <c r="BH216" s="10"/>
      <c r="BI216" s="10"/>
      <c r="BJ216" s="10"/>
      <c r="BK216" s="10"/>
      <c r="BL216" s="10"/>
      <c r="BM216" s="10"/>
      <c r="BN216" s="10"/>
      <c r="BO216" s="10"/>
      <c r="BP216" s="10"/>
      <c r="BQ216" s="10"/>
      <c r="BR216" s="10"/>
      <c r="BS216" s="10"/>
      <c r="BT216" s="10"/>
      <c r="BU216" s="10"/>
      <c r="BV216" s="10"/>
      <c r="BW216" s="10"/>
      <c r="BX216" s="10"/>
      <c r="BY216" s="10"/>
      <c r="BZ216" s="10"/>
      <c r="CA216" s="10"/>
      <c r="CB216" s="10"/>
      <c r="CC216" s="10"/>
      <c r="CD216" s="10"/>
      <c r="CE216" s="10"/>
      <c r="CF216" s="10"/>
      <c r="CG216" s="10"/>
      <c r="CH216" s="10"/>
      <c r="CI216" s="10"/>
      <c r="CJ216" s="10"/>
      <c r="CK216" s="10"/>
      <c r="CL216" s="10"/>
      <c r="CM216" s="10"/>
      <c r="CN216" s="10"/>
      <c r="CO216" s="10"/>
      <c r="CP216" s="10"/>
      <c r="CQ216" s="10"/>
      <c r="CR216" s="10"/>
      <c r="CS216" s="10"/>
      <c r="CT216" s="10"/>
      <c r="CU216" s="10"/>
      <c r="CV216" s="10"/>
      <c r="CW216" s="10"/>
      <c r="CX216" s="10"/>
      <c r="CY216" s="10"/>
      <c r="CZ216" s="10"/>
      <c r="DA216" s="10"/>
      <c r="DB216" s="10"/>
      <c r="DC216" s="10"/>
      <c r="DD216" s="10"/>
      <c r="DE216" s="10"/>
      <c r="DF216" s="10"/>
      <c r="DG216" s="10"/>
      <c r="DH216" s="10"/>
    </row>
    <row r="217" spans="1:112" ht="15.75" customHeight="1" x14ac:dyDescent="0.3">
      <c r="A217" s="13" t="s">
        <v>362</v>
      </c>
      <c r="B217" s="14">
        <v>45708</v>
      </c>
      <c r="C217" s="13" t="s">
        <v>97</v>
      </c>
      <c r="D217" s="13" t="s">
        <v>98</v>
      </c>
      <c r="E217" s="13" t="s">
        <v>62</v>
      </c>
      <c r="F217" s="13" t="s">
        <v>63</v>
      </c>
      <c r="G217" s="13" t="s">
        <v>20</v>
      </c>
      <c r="H217" s="13">
        <v>3</v>
      </c>
      <c r="I217" s="13">
        <v>899.99</v>
      </c>
      <c r="J217" s="13" t="s">
        <v>21</v>
      </c>
      <c r="K217" s="13" t="s">
        <v>64</v>
      </c>
      <c r="L217" s="13" t="s">
        <v>37</v>
      </c>
      <c r="M217" s="14">
        <v>44613</v>
      </c>
      <c r="N217" s="13">
        <v>2699.97</v>
      </c>
      <c r="O217" s="10"/>
      <c r="P217" s="13"/>
      <c r="Q217" s="10"/>
      <c r="R217" s="17">
        <f t="shared" ca="1" si="11"/>
        <v>1559</v>
      </c>
      <c r="S217" s="43">
        <f t="shared" si="9"/>
        <v>45716</v>
      </c>
      <c r="T217" s="44" t="str">
        <f t="shared" si="10"/>
        <v>Eas</v>
      </c>
      <c r="U217" s="13"/>
      <c r="V217" s="10"/>
      <c r="W217" s="10"/>
      <c r="X217" s="10"/>
      <c r="Y217" s="10"/>
      <c r="Z217" s="10"/>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0"/>
      <c r="BC217" s="10"/>
      <c r="BD217" s="10"/>
      <c r="BE217" s="10"/>
      <c r="BF217" s="10"/>
      <c r="BG217" s="10"/>
      <c r="BH217" s="10"/>
      <c r="BI217" s="10"/>
      <c r="BJ217" s="10"/>
      <c r="BK217" s="10"/>
      <c r="BL217" s="10"/>
      <c r="BM217" s="10"/>
      <c r="BN217" s="10"/>
      <c r="BO217" s="10"/>
      <c r="BP217" s="10"/>
      <c r="BQ217" s="10"/>
      <c r="BR217" s="10"/>
      <c r="BS217" s="10"/>
      <c r="BT217" s="10"/>
      <c r="BU217" s="10"/>
      <c r="BV217" s="10"/>
      <c r="BW217" s="10"/>
      <c r="BX217" s="10"/>
      <c r="BY217" s="10"/>
      <c r="BZ217" s="10"/>
      <c r="CA217" s="10"/>
      <c r="CB217" s="10"/>
      <c r="CC217" s="10"/>
      <c r="CD217" s="10"/>
      <c r="CE217" s="10"/>
      <c r="CF217" s="10"/>
      <c r="CG217" s="10"/>
      <c r="CH217" s="10"/>
      <c r="CI217" s="10"/>
      <c r="CJ217" s="10"/>
      <c r="CK217" s="10"/>
      <c r="CL217" s="10"/>
      <c r="CM217" s="10"/>
      <c r="CN217" s="10"/>
      <c r="CO217" s="10"/>
      <c r="CP217" s="10"/>
      <c r="CQ217" s="10"/>
      <c r="CR217" s="10"/>
      <c r="CS217" s="10"/>
      <c r="CT217" s="10"/>
      <c r="CU217" s="10"/>
      <c r="CV217" s="10"/>
      <c r="CW217" s="10"/>
      <c r="CX217" s="10"/>
      <c r="CY217" s="10"/>
      <c r="CZ217" s="10"/>
      <c r="DA217" s="10"/>
      <c r="DB217" s="10"/>
      <c r="DC217" s="10"/>
      <c r="DD217" s="10"/>
      <c r="DE217" s="10"/>
      <c r="DF217" s="10"/>
      <c r="DG217" s="10"/>
      <c r="DH217" s="10"/>
    </row>
    <row r="218" spans="1:112" ht="15.75" customHeight="1" x14ac:dyDescent="0.3">
      <c r="A218" s="13" t="s">
        <v>363</v>
      </c>
      <c r="B218" s="14">
        <v>45708</v>
      </c>
      <c r="C218" s="13" t="s">
        <v>193</v>
      </c>
      <c r="D218" s="13" t="s">
        <v>194</v>
      </c>
      <c r="E218" s="13" t="s">
        <v>127</v>
      </c>
      <c r="F218" s="13" t="s">
        <v>128</v>
      </c>
      <c r="G218" s="13" t="s">
        <v>47</v>
      </c>
      <c r="H218" s="13">
        <v>3</v>
      </c>
      <c r="I218" s="13">
        <v>199.99</v>
      </c>
      <c r="J218" s="13" t="s">
        <v>21</v>
      </c>
      <c r="K218" s="13" t="s">
        <v>51</v>
      </c>
      <c r="L218" s="13" t="s">
        <v>28</v>
      </c>
      <c r="M218" s="14">
        <v>44823</v>
      </c>
      <c r="N218" s="13">
        <v>599.97</v>
      </c>
      <c r="O218" s="10"/>
      <c r="P218" s="13"/>
      <c r="Q218" s="10"/>
      <c r="R218" s="17">
        <f t="shared" ca="1" si="11"/>
        <v>1349</v>
      </c>
      <c r="S218" s="43">
        <f t="shared" si="9"/>
        <v>45716</v>
      </c>
      <c r="T218" s="44" t="str">
        <f t="shared" si="10"/>
        <v>Wes</v>
      </c>
      <c r="U218" s="13"/>
      <c r="V218" s="10"/>
      <c r="W218" s="10"/>
      <c r="X218" s="10"/>
      <c r="Y218" s="10"/>
      <c r="Z218" s="10"/>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0"/>
      <c r="BC218" s="10"/>
      <c r="BD218" s="10"/>
      <c r="BE218" s="10"/>
      <c r="BF218" s="10"/>
      <c r="BG218" s="10"/>
      <c r="BH218" s="10"/>
      <c r="BI218" s="10"/>
      <c r="BJ218" s="10"/>
      <c r="BK218" s="10"/>
      <c r="BL218" s="10"/>
      <c r="BM218" s="10"/>
      <c r="BN218" s="10"/>
      <c r="BO218" s="10"/>
      <c r="BP218" s="10"/>
      <c r="BQ218" s="10"/>
      <c r="BR218" s="10"/>
      <c r="BS218" s="10"/>
      <c r="BT218" s="10"/>
      <c r="BU218" s="10"/>
      <c r="BV218" s="10"/>
      <c r="BW218" s="10"/>
      <c r="BX218" s="10"/>
      <c r="BY218" s="10"/>
      <c r="BZ218" s="10"/>
      <c r="CA218" s="10"/>
      <c r="CB218" s="10"/>
      <c r="CC218" s="10"/>
      <c r="CD218" s="10"/>
      <c r="CE218" s="10"/>
      <c r="CF218" s="10"/>
      <c r="CG218" s="10"/>
      <c r="CH218" s="10"/>
      <c r="CI218" s="10"/>
      <c r="CJ218" s="10"/>
      <c r="CK218" s="10"/>
      <c r="CL218" s="10"/>
      <c r="CM218" s="10"/>
      <c r="CN218" s="10"/>
      <c r="CO218" s="10"/>
      <c r="CP218" s="10"/>
      <c r="CQ218" s="10"/>
      <c r="CR218" s="10"/>
      <c r="CS218" s="10"/>
      <c r="CT218" s="10"/>
      <c r="CU218" s="10"/>
      <c r="CV218" s="10"/>
      <c r="CW218" s="10"/>
      <c r="CX218" s="10"/>
      <c r="CY218" s="10"/>
      <c r="CZ218" s="10"/>
      <c r="DA218" s="10"/>
      <c r="DB218" s="10"/>
      <c r="DC218" s="10"/>
      <c r="DD218" s="10"/>
      <c r="DE218" s="10"/>
      <c r="DF218" s="10"/>
      <c r="DG218" s="10"/>
      <c r="DH218" s="10"/>
    </row>
    <row r="219" spans="1:112" ht="15.75" customHeight="1" x14ac:dyDescent="0.3">
      <c r="A219" s="13" t="s">
        <v>364</v>
      </c>
      <c r="B219" s="14">
        <v>45710</v>
      </c>
      <c r="C219" s="13" t="s">
        <v>56</v>
      </c>
      <c r="D219" s="13" t="s">
        <v>57</v>
      </c>
      <c r="E219" s="13" t="s">
        <v>106</v>
      </c>
      <c r="F219" s="13" t="s">
        <v>107</v>
      </c>
      <c r="G219" s="13" t="s">
        <v>47</v>
      </c>
      <c r="H219" s="13">
        <v>5</v>
      </c>
      <c r="I219" s="13">
        <v>299.99</v>
      </c>
      <c r="J219" s="13" t="s">
        <v>21</v>
      </c>
      <c r="K219" s="13" t="s">
        <v>51</v>
      </c>
      <c r="L219" s="13" t="s">
        <v>37</v>
      </c>
      <c r="M219" s="14">
        <v>45142</v>
      </c>
      <c r="N219" s="13">
        <v>1499.95</v>
      </c>
      <c r="O219" s="10"/>
      <c r="P219" s="13"/>
      <c r="Q219" s="10"/>
      <c r="R219" s="17">
        <f t="shared" ca="1" si="11"/>
        <v>1030</v>
      </c>
      <c r="S219" s="43">
        <f t="shared" si="9"/>
        <v>45716</v>
      </c>
      <c r="T219" s="44" t="str">
        <f t="shared" si="10"/>
        <v>Wes</v>
      </c>
      <c r="U219" s="13"/>
      <c r="V219" s="10"/>
      <c r="W219" s="10"/>
      <c r="X219" s="10"/>
      <c r="Y219" s="10"/>
      <c r="Z219" s="10"/>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0"/>
      <c r="BC219" s="10"/>
      <c r="BD219" s="10"/>
      <c r="BE219" s="10"/>
      <c r="BF219" s="10"/>
      <c r="BG219" s="10"/>
      <c r="BH219" s="10"/>
      <c r="BI219" s="10"/>
      <c r="BJ219" s="10"/>
      <c r="BK219" s="10"/>
      <c r="BL219" s="10"/>
      <c r="BM219" s="10"/>
      <c r="BN219" s="10"/>
      <c r="BO219" s="10"/>
      <c r="BP219" s="10"/>
      <c r="BQ219" s="10"/>
      <c r="BR219" s="10"/>
      <c r="BS219" s="10"/>
      <c r="BT219" s="10"/>
      <c r="BU219" s="10"/>
      <c r="BV219" s="10"/>
      <c r="BW219" s="10"/>
      <c r="BX219" s="10"/>
      <c r="BY219" s="10"/>
      <c r="BZ219" s="10"/>
      <c r="CA219" s="10"/>
      <c r="CB219" s="10"/>
      <c r="CC219" s="10"/>
      <c r="CD219" s="10"/>
      <c r="CE219" s="10"/>
      <c r="CF219" s="10"/>
      <c r="CG219" s="10"/>
      <c r="CH219" s="10"/>
      <c r="CI219" s="10"/>
      <c r="CJ219" s="10"/>
      <c r="CK219" s="10"/>
      <c r="CL219" s="10"/>
      <c r="CM219" s="10"/>
      <c r="CN219" s="10"/>
      <c r="CO219" s="10"/>
      <c r="CP219" s="10"/>
      <c r="CQ219" s="10"/>
      <c r="CR219" s="10"/>
      <c r="CS219" s="10"/>
      <c r="CT219" s="10"/>
      <c r="CU219" s="10"/>
      <c r="CV219" s="10"/>
      <c r="CW219" s="10"/>
      <c r="CX219" s="10"/>
      <c r="CY219" s="10"/>
      <c r="CZ219" s="10"/>
      <c r="DA219" s="10"/>
      <c r="DB219" s="10"/>
      <c r="DC219" s="10"/>
      <c r="DD219" s="10"/>
      <c r="DE219" s="10"/>
      <c r="DF219" s="10"/>
      <c r="DG219" s="10"/>
      <c r="DH219" s="10"/>
    </row>
    <row r="220" spans="1:112" ht="15.75" customHeight="1" x14ac:dyDescent="0.3">
      <c r="A220" s="13" t="s">
        <v>365</v>
      </c>
      <c r="B220" s="14">
        <v>45710</v>
      </c>
      <c r="C220" s="13" t="s">
        <v>151</v>
      </c>
      <c r="D220" s="13" t="s">
        <v>152</v>
      </c>
      <c r="E220" s="13" t="s">
        <v>81</v>
      </c>
      <c r="F220" s="13" t="s">
        <v>82</v>
      </c>
      <c r="G220" s="13" t="s">
        <v>20</v>
      </c>
      <c r="H220" s="13">
        <v>1</v>
      </c>
      <c r="I220" s="13">
        <v>699.99</v>
      </c>
      <c r="J220" s="13" t="s">
        <v>35</v>
      </c>
      <c r="K220" s="13" t="s">
        <v>51</v>
      </c>
      <c r="L220" s="13" t="s">
        <v>23</v>
      </c>
      <c r="M220" s="14">
        <v>44934</v>
      </c>
      <c r="N220" s="13">
        <v>699.99</v>
      </c>
      <c r="O220" s="10"/>
      <c r="P220" s="13"/>
      <c r="Q220" s="10"/>
      <c r="R220" s="17">
        <f t="shared" ca="1" si="11"/>
        <v>1238</v>
      </c>
      <c r="S220" s="43">
        <f t="shared" si="9"/>
        <v>45716</v>
      </c>
      <c r="T220" s="44" t="str">
        <f t="shared" si="10"/>
        <v>Wes</v>
      </c>
      <c r="U220" s="13"/>
      <c r="V220" s="10"/>
      <c r="W220" s="10"/>
      <c r="X220" s="10"/>
      <c r="Y220" s="10"/>
      <c r="Z220" s="10"/>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0"/>
      <c r="BC220" s="10"/>
      <c r="BD220" s="10"/>
      <c r="BE220" s="10"/>
      <c r="BF220" s="10"/>
      <c r="BG220" s="10"/>
      <c r="BH220" s="10"/>
      <c r="BI220" s="10"/>
      <c r="BJ220" s="10"/>
      <c r="BK220" s="10"/>
      <c r="BL220" s="10"/>
      <c r="BM220" s="10"/>
      <c r="BN220" s="10"/>
      <c r="BO220" s="10"/>
      <c r="BP220" s="10"/>
      <c r="BQ220" s="10"/>
      <c r="BR220" s="10"/>
      <c r="BS220" s="10"/>
      <c r="BT220" s="10"/>
      <c r="BU220" s="10"/>
      <c r="BV220" s="10"/>
      <c r="BW220" s="10"/>
      <c r="BX220" s="10"/>
      <c r="BY220" s="10"/>
      <c r="BZ220" s="10"/>
      <c r="CA220" s="10"/>
      <c r="CB220" s="10"/>
      <c r="CC220" s="10"/>
      <c r="CD220" s="10"/>
      <c r="CE220" s="10"/>
      <c r="CF220" s="10"/>
      <c r="CG220" s="10"/>
      <c r="CH220" s="10"/>
      <c r="CI220" s="10"/>
      <c r="CJ220" s="10"/>
      <c r="CK220" s="10"/>
      <c r="CL220" s="10"/>
      <c r="CM220" s="10"/>
      <c r="CN220" s="10"/>
      <c r="CO220" s="10"/>
      <c r="CP220" s="10"/>
      <c r="CQ220" s="10"/>
      <c r="CR220" s="10"/>
      <c r="CS220" s="10"/>
      <c r="CT220" s="10"/>
      <c r="CU220" s="10"/>
      <c r="CV220" s="10"/>
      <c r="CW220" s="10"/>
      <c r="CX220" s="10"/>
      <c r="CY220" s="10"/>
      <c r="CZ220" s="10"/>
      <c r="DA220" s="10"/>
      <c r="DB220" s="10"/>
      <c r="DC220" s="10"/>
      <c r="DD220" s="10"/>
      <c r="DE220" s="10"/>
      <c r="DF220" s="10"/>
      <c r="DG220" s="10"/>
      <c r="DH220" s="10"/>
    </row>
    <row r="221" spans="1:112" ht="15.75" customHeight="1" x14ac:dyDescent="0.3">
      <c r="A221" s="13" t="s">
        <v>366</v>
      </c>
      <c r="B221" s="14">
        <v>45711</v>
      </c>
      <c r="C221" s="13" t="s">
        <v>247</v>
      </c>
      <c r="D221" s="13" t="s">
        <v>248</v>
      </c>
      <c r="E221" s="13" t="s">
        <v>81</v>
      </c>
      <c r="F221" s="13" t="s">
        <v>82</v>
      </c>
      <c r="G221" s="13" t="s">
        <v>20</v>
      </c>
      <c r="H221" s="13">
        <v>1</v>
      </c>
      <c r="I221" s="13">
        <v>699.99</v>
      </c>
      <c r="J221" s="13" t="s">
        <v>21</v>
      </c>
      <c r="K221" s="13" t="s">
        <v>41</v>
      </c>
      <c r="L221" s="13" t="s">
        <v>28</v>
      </c>
      <c r="M221" s="14">
        <v>44583</v>
      </c>
      <c r="N221" s="13">
        <v>699.99</v>
      </c>
      <c r="O221" s="10"/>
      <c r="P221" s="13"/>
      <c r="Q221" s="10"/>
      <c r="R221" s="17">
        <f t="shared" ca="1" si="11"/>
        <v>1589</v>
      </c>
      <c r="S221" s="43">
        <f t="shared" si="9"/>
        <v>45716</v>
      </c>
      <c r="T221" s="44" t="str">
        <f t="shared" si="10"/>
        <v>Nor</v>
      </c>
      <c r="U221" s="13"/>
      <c r="V221" s="10"/>
      <c r="W221" s="10"/>
      <c r="X221" s="10"/>
      <c r="Y221" s="10"/>
      <c r="Z221" s="10"/>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0"/>
      <c r="BC221" s="10"/>
      <c r="BD221" s="10"/>
      <c r="BE221" s="10"/>
      <c r="BF221" s="10"/>
      <c r="BG221" s="10"/>
      <c r="BH221" s="10"/>
      <c r="BI221" s="10"/>
      <c r="BJ221" s="10"/>
      <c r="BK221" s="10"/>
      <c r="BL221" s="10"/>
      <c r="BM221" s="10"/>
      <c r="BN221" s="10"/>
      <c r="BO221" s="10"/>
      <c r="BP221" s="10"/>
      <c r="BQ221" s="10"/>
      <c r="BR221" s="10"/>
      <c r="BS221" s="10"/>
      <c r="BT221" s="10"/>
      <c r="BU221" s="10"/>
      <c r="BV221" s="10"/>
      <c r="BW221" s="10"/>
      <c r="BX221" s="10"/>
      <c r="BY221" s="10"/>
      <c r="BZ221" s="10"/>
      <c r="CA221" s="10"/>
      <c r="CB221" s="10"/>
      <c r="CC221" s="10"/>
      <c r="CD221" s="10"/>
      <c r="CE221" s="10"/>
      <c r="CF221" s="10"/>
      <c r="CG221" s="10"/>
      <c r="CH221" s="10"/>
      <c r="CI221" s="10"/>
      <c r="CJ221" s="10"/>
      <c r="CK221" s="10"/>
      <c r="CL221" s="10"/>
      <c r="CM221" s="10"/>
      <c r="CN221" s="10"/>
      <c r="CO221" s="10"/>
      <c r="CP221" s="10"/>
      <c r="CQ221" s="10"/>
      <c r="CR221" s="10"/>
      <c r="CS221" s="10"/>
      <c r="CT221" s="10"/>
      <c r="CU221" s="10"/>
      <c r="CV221" s="10"/>
      <c r="CW221" s="10"/>
      <c r="CX221" s="10"/>
      <c r="CY221" s="10"/>
      <c r="CZ221" s="10"/>
      <c r="DA221" s="10"/>
      <c r="DB221" s="10"/>
      <c r="DC221" s="10"/>
      <c r="DD221" s="10"/>
      <c r="DE221" s="10"/>
      <c r="DF221" s="10"/>
      <c r="DG221" s="10"/>
      <c r="DH221" s="10"/>
    </row>
    <row r="222" spans="1:112" ht="15.75" customHeight="1" x14ac:dyDescent="0.3">
      <c r="A222" s="13" t="s">
        <v>367</v>
      </c>
      <c r="B222" s="14">
        <v>45711</v>
      </c>
      <c r="C222" s="13" t="s">
        <v>326</v>
      </c>
      <c r="D222" s="13" t="s">
        <v>327</v>
      </c>
      <c r="E222" s="13" t="s">
        <v>45</v>
      </c>
      <c r="F222" s="13" t="s">
        <v>46</v>
      </c>
      <c r="G222" s="13" t="s">
        <v>47</v>
      </c>
      <c r="H222" s="13">
        <v>4</v>
      </c>
      <c r="I222" s="13">
        <v>149.99</v>
      </c>
      <c r="J222" s="13" t="s">
        <v>35</v>
      </c>
      <c r="K222" s="13" t="s">
        <v>41</v>
      </c>
      <c r="L222" s="13" t="s">
        <v>28</v>
      </c>
      <c r="M222" s="14">
        <v>44412</v>
      </c>
      <c r="N222" s="13">
        <v>599.96</v>
      </c>
      <c r="O222" s="10"/>
      <c r="P222" s="13"/>
      <c r="Q222" s="10"/>
      <c r="R222" s="17">
        <f t="shared" ca="1" si="11"/>
        <v>1760</v>
      </c>
      <c r="S222" s="43">
        <f t="shared" si="9"/>
        <v>45716</v>
      </c>
      <c r="T222" s="44" t="str">
        <f t="shared" si="10"/>
        <v>Nor</v>
      </c>
      <c r="U222" s="13"/>
      <c r="V222" s="10"/>
      <c r="W222" s="10"/>
      <c r="X222" s="10"/>
      <c r="Y222" s="10"/>
      <c r="Z222" s="10"/>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0"/>
      <c r="BC222" s="10"/>
      <c r="BD222" s="10"/>
      <c r="BE222" s="10"/>
      <c r="BF222" s="10"/>
      <c r="BG222" s="10"/>
      <c r="BH222" s="10"/>
      <c r="BI222" s="10"/>
      <c r="BJ222" s="10"/>
      <c r="BK222" s="10"/>
      <c r="BL222" s="10"/>
      <c r="BM222" s="10"/>
      <c r="BN222" s="10"/>
      <c r="BO222" s="10"/>
      <c r="BP222" s="10"/>
      <c r="BQ222" s="10"/>
      <c r="BR222" s="10"/>
      <c r="BS222" s="10"/>
      <c r="BT222" s="10"/>
      <c r="BU222" s="10"/>
      <c r="BV222" s="10"/>
      <c r="BW222" s="10"/>
      <c r="BX222" s="10"/>
      <c r="BY222" s="10"/>
      <c r="BZ222" s="10"/>
      <c r="CA222" s="10"/>
      <c r="CB222" s="10"/>
      <c r="CC222" s="10"/>
      <c r="CD222" s="10"/>
      <c r="CE222" s="10"/>
      <c r="CF222" s="10"/>
      <c r="CG222" s="10"/>
      <c r="CH222" s="10"/>
      <c r="CI222" s="10"/>
      <c r="CJ222" s="10"/>
      <c r="CK222" s="10"/>
      <c r="CL222" s="10"/>
      <c r="CM222" s="10"/>
      <c r="CN222" s="10"/>
      <c r="CO222" s="10"/>
      <c r="CP222" s="10"/>
      <c r="CQ222" s="10"/>
      <c r="CR222" s="10"/>
      <c r="CS222" s="10"/>
      <c r="CT222" s="10"/>
      <c r="CU222" s="10"/>
      <c r="CV222" s="10"/>
      <c r="CW222" s="10"/>
      <c r="CX222" s="10"/>
      <c r="CY222" s="10"/>
      <c r="CZ222" s="10"/>
      <c r="DA222" s="10"/>
      <c r="DB222" s="10"/>
      <c r="DC222" s="10"/>
      <c r="DD222" s="10"/>
      <c r="DE222" s="10"/>
      <c r="DF222" s="10"/>
      <c r="DG222" s="10"/>
      <c r="DH222" s="10"/>
    </row>
    <row r="223" spans="1:112" ht="15.75" customHeight="1" x14ac:dyDescent="0.3">
      <c r="A223" s="13" t="s">
        <v>368</v>
      </c>
      <c r="B223" s="14">
        <v>45711</v>
      </c>
      <c r="C223" s="13" t="s">
        <v>212</v>
      </c>
      <c r="D223" s="13" t="s">
        <v>213</v>
      </c>
      <c r="E223" s="13" t="s">
        <v>118</v>
      </c>
      <c r="F223" s="13" t="s">
        <v>119</v>
      </c>
      <c r="G223" s="13" t="s">
        <v>20</v>
      </c>
      <c r="H223" s="13">
        <v>5</v>
      </c>
      <c r="I223" s="13">
        <v>89.99</v>
      </c>
      <c r="J223" s="13" t="s">
        <v>35</v>
      </c>
      <c r="K223" s="13" t="s">
        <v>51</v>
      </c>
      <c r="L223" s="13" t="s">
        <v>28</v>
      </c>
      <c r="M223" s="14">
        <v>45140</v>
      </c>
      <c r="N223" s="13">
        <v>449.95</v>
      </c>
      <c r="O223" s="10"/>
      <c r="P223" s="13"/>
      <c r="Q223" s="10"/>
      <c r="R223" s="17">
        <f t="shared" ca="1" si="11"/>
        <v>1032</v>
      </c>
      <c r="S223" s="43">
        <f t="shared" si="9"/>
        <v>45716</v>
      </c>
      <c r="T223" s="44" t="str">
        <f t="shared" si="10"/>
        <v>Wes</v>
      </c>
      <c r="U223" s="13"/>
      <c r="V223" s="10"/>
      <c r="W223" s="10"/>
      <c r="X223" s="10"/>
      <c r="Y223" s="10"/>
      <c r="Z223" s="10"/>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0"/>
      <c r="BC223" s="10"/>
      <c r="BD223" s="10"/>
      <c r="BE223" s="10"/>
      <c r="BF223" s="10"/>
      <c r="BG223" s="10"/>
      <c r="BH223" s="10"/>
      <c r="BI223" s="10"/>
      <c r="BJ223" s="10"/>
      <c r="BK223" s="10"/>
      <c r="BL223" s="10"/>
      <c r="BM223" s="10"/>
      <c r="BN223" s="10"/>
      <c r="BO223" s="10"/>
      <c r="BP223" s="10"/>
      <c r="BQ223" s="10"/>
      <c r="BR223" s="10"/>
      <c r="BS223" s="10"/>
      <c r="BT223" s="10"/>
      <c r="BU223" s="10"/>
      <c r="BV223" s="10"/>
      <c r="BW223" s="10"/>
      <c r="BX223" s="10"/>
      <c r="BY223" s="10"/>
      <c r="BZ223" s="10"/>
      <c r="CA223" s="10"/>
      <c r="CB223" s="10"/>
      <c r="CC223" s="10"/>
      <c r="CD223" s="10"/>
      <c r="CE223" s="10"/>
      <c r="CF223" s="10"/>
      <c r="CG223" s="10"/>
      <c r="CH223" s="10"/>
      <c r="CI223" s="10"/>
      <c r="CJ223" s="10"/>
      <c r="CK223" s="10"/>
      <c r="CL223" s="10"/>
      <c r="CM223" s="10"/>
      <c r="CN223" s="10"/>
      <c r="CO223" s="10"/>
      <c r="CP223" s="10"/>
      <c r="CQ223" s="10"/>
      <c r="CR223" s="10"/>
      <c r="CS223" s="10"/>
      <c r="CT223" s="10"/>
      <c r="CU223" s="10"/>
      <c r="CV223" s="10"/>
      <c r="CW223" s="10"/>
      <c r="CX223" s="10"/>
      <c r="CY223" s="10"/>
      <c r="CZ223" s="10"/>
      <c r="DA223" s="10"/>
      <c r="DB223" s="10"/>
      <c r="DC223" s="10"/>
      <c r="DD223" s="10"/>
      <c r="DE223" s="10"/>
      <c r="DF223" s="10"/>
      <c r="DG223" s="10"/>
      <c r="DH223" s="10"/>
    </row>
    <row r="224" spans="1:112" ht="15.75" customHeight="1" x14ac:dyDescent="0.3">
      <c r="A224" s="13" t="s">
        <v>369</v>
      </c>
      <c r="B224" s="14">
        <v>45712</v>
      </c>
      <c r="C224" s="13" t="s">
        <v>139</v>
      </c>
      <c r="D224" s="13" t="s">
        <v>140</v>
      </c>
      <c r="E224" s="13" t="s">
        <v>127</v>
      </c>
      <c r="F224" s="13" t="s">
        <v>128</v>
      </c>
      <c r="G224" s="13" t="s">
        <v>47</v>
      </c>
      <c r="H224" s="13">
        <v>2</v>
      </c>
      <c r="I224" s="13">
        <v>199.99</v>
      </c>
      <c r="J224" s="13" t="s">
        <v>21</v>
      </c>
      <c r="K224" s="13" t="s">
        <v>22</v>
      </c>
      <c r="L224" s="13" t="s">
        <v>28</v>
      </c>
      <c r="M224" s="14">
        <v>44573</v>
      </c>
      <c r="N224" s="13">
        <v>399.98</v>
      </c>
      <c r="O224" s="10"/>
      <c r="P224" s="13"/>
      <c r="Q224" s="10"/>
      <c r="R224" s="17">
        <f t="shared" ca="1" si="11"/>
        <v>1599</v>
      </c>
      <c r="S224" s="43">
        <f t="shared" si="9"/>
        <v>45716</v>
      </c>
      <c r="T224" s="44" t="str">
        <f t="shared" si="10"/>
        <v>Cen</v>
      </c>
      <c r="U224" s="13"/>
      <c r="V224" s="10"/>
      <c r="W224" s="10"/>
      <c r="X224" s="10"/>
      <c r="Y224" s="10"/>
      <c r="Z224" s="10"/>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0"/>
      <c r="BC224" s="10"/>
      <c r="BD224" s="10"/>
      <c r="BE224" s="10"/>
      <c r="BF224" s="10"/>
      <c r="BG224" s="10"/>
      <c r="BH224" s="10"/>
      <c r="BI224" s="10"/>
      <c r="BJ224" s="10"/>
      <c r="BK224" s="10"/>
      <c r="BL224" s="10"/>
      <c r="BM224" s="10"/>
      <c r="BN224" s="10"/>
      <c r="BO224" s="10"/>
      <c r="BP224" s="10"/>
      <c r="BQ224" s="10"/>
      <c r="BR224" s="10"/>
      <c r="BS224" s="10"/>
      <c r="BT224" s="10"/>
      <c r="BU224" s="10"/>
      <c r="BV224" s="10"/>
      <c r="BW224" s="10"/>
      <c r="BX224" s="10"/>
      <c r="BY224" s="10"/>
      <c r="BZ224" s="10"/>
      <c r="CA224" s="10"/>
      <c r="CB224" s="10"/>
      <c r="CC224" s="10"/>
      <c r="CD224" s="10"/>
      <c r="CE224" s="10"/>
      <c r="CF224" s="10"/>
      <c r="CG224" s="10"/>
      <c r="CH224" s="10"/>
      <c r="CI224" s="10"/>
      <c r="CJ224" s="10"/>
      <c r="CK224" s="10"/>
      <c r="CL224" s="10"/>
      <c r="CM224" s="10"/>
      <c r="CN224" s="10"/>
      <c r="CO224" s="10"/>
      <c r="CP224" s="10"/>
      <c r="CQ224" s="10"/>
      <c r="CR224" s="10"/>
      <c r="CS224" s="10"/>
      <c r="CT224" s="10"/>
      <c r="CU224" s="10"/>
      <c r="CV224" s="10"/>
      <c r="CW224" s="10"/>
      <c r="CX224" s="10"/>
      <c r="CY224" s="10"/>
      <c r="CZ224" s="10"/>
      <c r="DA224" s="10"/>
      <c r="DB224" s="10"/>
      <c r="DC224" s="10"/>
      <c r="DD224" s="10"/>
      <c r="DE224" s="10"/>
      <c r="DF224" s="10"/>
      <c r="DG224" s="10"/>
      <c r="DH224" s="10"/>
    </row>
    <row r="225" spans="1:112" ht="15.75" customHeight="1" x14ac:dyDescent="0.3">
      <c r="A225" s="13" t="s">
        <v>370</v>
      </c>
      <c r="B225" s="14">
        <v>45715</v>
      </c>
      <c r="C225" s="13" t="s">
        <v>260</v>
      </c>
      <c r="D225" s="13" t="s">
        <v>261</v>
      </c>
      <c r="E225" s="13" t="s">
        <v>32</v>
      </c>
      <c r="F225" s="13" t="s">
        <v>33</v>
      </c>
      <c r="G225" s="13" t="s">
        <v>34</v>
      </c>
      <c r="H225" s="13">
        <v>4</v>
      </c>
      <c r="I225" s="13">
        <v>59.99</v>
      </c>
      <c r="J225" s="13" t="s">
        <v>21</v>
      </c>
      <c r="K225" s="13" t="s">
        <v>51</v>
      </c>
      <c r="L225" s="13" t="s">
        <v>37</v>
      </c>
      <c r="M225" s="14">
        <v>45070</v>
      </c>
      <c r="N225" s="13">
        <v>239.96</v>
      </c>
      <c r="O225" s="10"/>
      <c r="P225" s="13"/>
      <c r="Q225" s="10"/>
      <c r="R225" s="17">
        <f t="shared" ca="1" si="11"/>
        <v>1102</v>
      </c>
      <c r="S225" s="43">
        <f t="shared" si="9"/>
        <v>45716</v>
      </c>
      <c r="T225" s="44" t="str">
        <f t="shared" si="10"/>
        <v>Wes</v>
      </c>
      <c r="U225" s="13"/>
      <c r="V225" s="10"/>
      <c r="W225" s="10"/>
      <c r="X225" s="10"/>
      <c r="Y225" s="10"/>
      <c r="Z225" s="10"/>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0"/>
      <c r="BC225" s="10"/>
      <c r="BD225" s="10"/>
      <c r="BE225" s="10"/>
      <c r="BF225" s="10"/>
      <c r="BG225" s="10"/>
      <c r="BH225" s="10"/>
      <c r="BI225" s="10"/>
      <c r="BJ225" s="10"/>
      <c r="BK225" s="10"/>
      <c r="BL225" s="10"/>
      <c r="BM225" s="10"/>
      <c r="BN225" s="10"/>
      <c r="BO225" s="10"/>
      <c r="BP225" s="10"/>
      <c r="BQ225" s="10"/>
      <c r="BR225" s="10"/>
      <c r="BS225" s="10"/>
      <c r="BT225" s="10"/>
      <c r="BU225" s="10"/>
      <c r="BV225" s="10"/>
      <c r="BW225" s="10"/>
      <c r="BX225" s="10"/>
      <c r="BY225" s="10"/>
      <c r="BZ225" s="10"/>
      <c r="CA225" s="10"/>
      <c r="CB225" s="10"/>
      <c r="CC225" s="10"/>
      <c r="CD225" s="10"/>
      <c r="CE225" s="10"/>
      <c r="CF225" s="10"/>
      <c r="CG225" s="10"/>
      <c r="CH225" s="10"/>
      <c r="CI225" s="10"/>
      <c r="CJ225" s="10"/>
      <c r="CK225" s="10"/>
      <c r="CL225" s="10"/>
      <c r="CM225" s="10"/>
      <c r="CN225" s="10"/>
      <c r="CO225" s="10"/>
      <c r="CP225" s="10"/>
      <c r="CQ225" s="10"/>
      <c r="CR225" s="10"/>
      <c r="CS225" s="10"/>
      <c r="CT225" s="10"/>
      <c r="CU225" s="10"/>
      <c r="CV225" s="10"/>
      <c r="CW225" s="10"/>
      <c r="CX225" s="10"/>
      <c r="CY225" s="10"/>
      <c r="CZ225" s="10"/>
      <c r="DA225" s="10"/>
      <c r="DB225" s="10"/>
      <c r="DC225" s="10"/>
      <c r="DD225" s="10"/>
      <c r="DE225" s="10"/>
      <c r="DF225" s="10"/>
      <c r="DG225" s="10"/>
      <c r="DH225" s="10"/>
    </row>
    <row r="226" spans="1:112" ht="15.75" customHeight="1" x14ac:dyDescent="0.3">
      <c r="A226" s="13" t="s">
        <v>371</v>
      </c>
      <c r="B226" s="14">
        <v>45715</v>
      </c>
      <c r="C226" s="13" t="s">
        <v>94</v>
      </c>
      <c r="D226" s="13" t="s">
        <v>95</v>
      </c>
      <c r="E226" s="13" t="s">
        <v>106</v>
      </c>
      <c r="F226" s="13" t="s">
        <v>107</v>
      </c>
      <c r="G226" s="13" t="s">
        <v>47</v>
      </c>
      <c r="H226" s="13">
        <v>2</v>
      </c>
      <c r="I226" s="13">
        <v>299.99</v>
      </c>
      <c r="J226" s="13" t="s">
        <v>35</v>
      </c>
      <c r="K226" s="13" t="s">
        <v>36</v>
      </c>
      <c r="L226" s="13" t="s">
        <v>23</v>
      </c>
      <c r="M226" s="14">
        <v>44576</v>
      </c>
      <c r="N226" s="13">
        <v>599.98</v>
      </c>
      <c r="O226" s="10"/>
      <c r="P226" s="13"/>
      <c r="Q226" s="10"/>
      <c r="R226" s="17">
        <f t="shared" ca="1" si="11"/>
        <v>1596</v>
      </c>
      <c r="S226" s="43">
        <f t="shared" si="9"/>
        <v>45716</v>
      </c>
      <c r="T226" s="44" t="str">
        <f t="shared" si="10"/>
        <v>Sou</v>
      </c>
      <c r="U226" s="13"/>
      <c r="V226" s="10"/>
      <c r="W226" s="10"/>
      <c r="X226" s="10"/>
      <c r="Y226" s="10"/>
      <c r="Z226" s="10"/>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0"/>
      <c r="BC226" s="10"/>
      <c r="BD226" s="10"/>
      <c r="BE226" s="10"/>
      <c r="BF226" s="10"/>
      <c r="BG226" s="10"/>
      <c r="BH226" s="10"/>
      <c r="BI226" s="10"/>
      <c r="BJ226" s="10"/>
      <c r="BK226" s="10"/>
      <c r="BL226" s="10"/>
      <c r="BM226" s="10"/>
      <c r="BN226" s="10"/>
      <c r="BO226" s="10"/>
      <c r="BP226" s="10"/>
      <c r="BQ226" s="10"/>
      <c r="BR226" s="10"/>
      <c r="BS226" s="10"/>
      <c r="BT226" s="10"/>
      <c r="BU226" s="10"/>
      <c r="BV226" s="10"/>
      <c r="BW226" s="10"/>
      <c r="BX226" s="10"/>
      <c r="BY226" s="10"/>
      <c r="BZ226" s="10"/>
      <c r="CA226" s="10"/>
      <c r="CB226" s="10"/>
      <c r="CC226" s="10"/>
      <c r="CD226" s="10"/>
      <c r="CE226" s="10"/>
      <c r="CF226" s="10"/>
      <c r="CG226" s="10"/>
      <c r="CH226" s="10"/>
      <c r="CI226" s="10"/>
      <c r="CJ226" s="10"/>
      <c r="CK226" s="10"/>
      <c r="CL226" s="10"/>
      <c r="CM226" s="10"/>
      <c r="CN226" s="10"/>
      <c r="CO226" s="10"/>
      <c r="CP226" s="10"/>
      <c r="CQ226" s="10"/>
      <c r="CR226" s="10"/>
      <c r="CS226" s="10"/>
      <c r="CT226" s="10"/>
      <c r="CU226" s="10"/>
      <c r="CV226" s="10"/>
      <c r="CW226" s="10"/>
      <c r="CX226" s="10"/>
      <c r="CY226" s="10"/>
      <c r="CZ226" s="10"/>
      <c r="DA226" s="10"/>
      <c r="DB226" s="10"/>
      <c r="DC226" s="10"/>
      <c r="DD226" s="10"/>
      <c r="DE226" s="10"/>
      <c r="DF226" s="10"/>
      <c r="DG226" s="10"/>
      <c r="DH226" s="10"/>
    </row>
    <row r="227" spans="1:112" ht="15.75" customHeight="1" x14ac:dyDescent="0.3">
      <c r="A227" s="13" t="s">
        <v>372</v>
      </c>
      <c r="B227" s="14">
        <v>45718</v>
      </c>
      <c r="C227" s="13" t="s">
        <v>56</v>
      </c>
      <c r="D227" s="13" t="s">
        <v>57</v>
      </c>
      <c r="E227" s="13" t="s">
        <v>45</v>
      </c>
      <c r="F227" s="13" t="s">
        <v>46</v>
      </c>
      <c r="G227" s="13" t="s">
        <v>47</v>
      </c>
      <c r="H227" s="13">
        <v>2</v>
      </c>
      <c r="I227" s="13">
        <v>149.99</v>
      </c>
      <c r="J227" s="13" t="s">
        <v>21</v>
      </c>
      <c r="K227" s="13" t="s">
        <v>22</v>
      </c>
      <c r="L227" s="13" t="s">
        <v>23</v>
      </c>
      <c r="M227" s="14">
        <v>45068</v>
      </c>
      <c r="N227" s="13">
        <v>299.98</v>
      </c>
      <c r="O227" s="10"/>
      <c r="P227" s="13"/>
      <c r="Q227" s="10"/>
      <c r="R227" s="17">
        <f t="shared" ca="1" si="11"/>
        <v>1104</v>
      </c>
      <c r="S227" s="43">
        <f t="shared" si="9"/>
        <v>45747</v>
      </c>
      <c r="T227" s="44" t="str">
        <f t="shared" si="10"/>
        <v>Cen</v>
      </c>
      <c r="U227" s="13"/>
      <c r="V227" s="10"/>
      <c r="W227" s="10"/>
      <c r="X227" s="10"/>
      <c r="Y227" s="10"/>
      <c r="Z227" s="10"/>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0"/>
      <c r="BC227" s="10"/>
      <c r="BD227" s="10"/>
      <c r="BE227" s="10"/>
      <c r="BF227" s="10"/>
      <c r="BG227" s="10"/>
      <c r="BH227" s="10"/>
      <c r="BI227" s="10"/>
      <c r="BJ227" s="10"/>
      <c r="BK227" s="10"/>
      <c r="BL227" s="10"/>
      <c r="BM227" s="10"/>
      <c r="BN227" s="10"/>
      <c r="BO227" s="10"/>
      <c r="BP227" s="10"/>
      <c r="BQ227" s="10"/>
      <c r="BR227" s="10"/>
      <c r="BS227" s="10"/>
      <c r="BT227" s="10"/>
      <c r="BU227" s="10"/>
      <c r="BV227" s="10"/>
      <c r="BW227" s="10"/>
      <c r="BX227" s="10"/>
      <c r="BY227" s="10"/>
      <c r="BZ227" s="10"/>
      <c r="CA227" s="10"/>
      <c r="CB227" s="10"/>
      <c r="CC227" s="10"/>
      <c r="CD227" s="10"/>
      <c r="CE227" s="10"/>
      <c r="CF227" s="10"/>
      <c r="CG227" s="10"/>
      <c r="CH227" s="10"/>
      <c r="CI227" s="10"/>
      <c r="CJ227" s="10"/>
      <c r="CK227" s="10"/>
      <c r="CL227" s="10"/>
      <c r="CM227" s="10"/>
      <c r="CN227" s="10"/>
      <c r="CO227" s="10"/>
      <c r="CP227" s="10"/>
      <c r="CQ227" s="10"/>
      <c r="CR227" s="10"/>
      <c r="CS227" s="10"/>
      <c r="CT227" s="10"/>
      <c r="CU227" s="10"/>
      <c r="CV227" s="10"/>
      <c r="CW227" s="10"/>
      <c r="CX227" s="10"/>
      <c r="CY227" s="10"/>
      <c r="CZ227" s="10"/>
      <c r="DA227" s="10"/>
      <c r="DB227" s="10"/>
      <c r="DC227" s="10"/>
      <c r="DD227" s="10"/>
      <c r="DE227" s="10"/>
      <c r="DF227" s="10"/>
      <c r="DG227" s="10"/>
      <c r="DH227" s="10"/>
    </row>
    <row r="228" spans="1:112" ht="15.75" customHeight="1" x14ac:dyDescent="0.3">
      <c r="A228" s="13" t="s">
        <v>373</v>
      </c>
      <c r="B228" s="14">
        <v>45720</v>
      </c>
      <c r="C228" s="13" t="s">
        <v>227</v>
      </c>
      <c r="D228" s="13" t="s">
        <v>228</v>
      </c>
      <c r="E228" s="13" t="s">
        <v>81</v>
      </c>
      <c r="F228" s="13" t="s">
        <v>82</v>
      </c>
      <c r="G228" s="13" t="s">
        <v>20</v>
      </c>
      <c r="H228" s="13">
        <v>5</v>
      </c>
      <c r="I228" s="13">
        <v>699.99</v>
      </c>
      <c r="J228" s="13" t="s">
        <v>58</v>
      </c>
      <c r="K228" s="13" t="s">
        <v>64</v>
      </c>
      <c r="L228" s="13" t="s">
        <v>28</v>
      </c>
      <c r="M228" s="14">
        <v>45161</v>
      </c>
      <c r="N228" s="13">
        <v>3499.95</v>
      </c>
      <c r="O228" s="10"/>
      <c r="P228" s="13"/>
      <c r="Q228" s="10"/>
      <c r="R228" s="17">
        <f t="shared" ca="1" si="11"/>
        <v>1011</v>
      </c>
      <c r="S228" s="43">
        <f t="shared" si="9"/>
        <v>45747</v>
      </c>
      <c r="T228" s="44" t="str">
        <f t="shared" si="10"/>
        <v>Eas</v>
      </c>
      <c r="U228" s="13"/>
      <c r="V228" s="10"/>
      <c r="W228" s="10"/>
      <c r="X228" s="10"/>
      <c r="Y228" s="10"/>
      <c r="Z228" s="10"/>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0"/>
      <c r="BC228" s="10"/>
      <c r="BD228" s="10"/>
      <c r="BE228" s="10"/>
      <c r="BF228" s="10"/>
      <c r="BG228" s="10"/>
      <c r="BH228" s="10"/>
      <c r="BI228" s="10"/>
      <c r="BJ228" s="10"/>
      <c r="BK228" s="10"/>
      <c r="BL228" s="10"/>
      <c r="BM228" s="10"/>
      <c r="BN228" s="10"/>
      <c r="BO228" s="10"/>
      <c r="BP228" s="10"/>
      <c r="BQ228" s="10"/>
      <c r="BR228" s="10"/>
      <c r="BS228" s="10"/>
      <c r="BT228" s="10"/>
      <c r="BU228" s="10"/>
      <c r="BV228" s="10"/>
      <c r="BW228" s="10"/>
      <c r="BX228" s="10"/>
      <c r="BY228" s="10"/>
      <c r="BZ228" s="10"/>
      <c r="CA228" s="10"/>
      <c r="CB228" s="10"/>
      <c r="CC228" s="10"/>
      <c r="CD228" s="10"/>
      <c r="CE228" s="10"/>
      <c r="CF228" s="10"/>
      <c r="CG228" s="10"/>
      <c r="CH228" s="10"/>
      <c r="CI228" s="10"/>
      <c r="CJ228" s="10"/>
      <c r="CK228" s="10"/>
      <c r="CL228" s="10"/>
      <c r="CM228" s="10"/>
      <c r="CN228" s="10"/>
      <c r="CO228" s="10"/>
      <c r="CP228" s="10"/>
      <c r="CQ228" s="10"/>
      <c r="CR228" s="10"/>
      <c r="CS228" s="10"/>
      <c r="CT228" s="10"/>
      <c r="CU228" s="10"/>
      <c r="CV228" s="10"/>
      <c r="CW228" s="10"/>
      <c r="CX228" s="10"/>
      <c r="CY228" s="10"/>
      <c r="CZ228" s="10"/>
      <c r="DA228" s="10"/>
      <c r="DB228" s="10"/>
      <c r="DC228" s="10"/>
      <c r="DD228" s="10"/>
      <c r="DE228" s="10"/>
      <c r="DF228" s="10"/>
      <c r="DG228" s="10"/>
      <c r="DH228" s="10"/>
    </row>
    <row r="229" spans="1:112" ht="15.75" customHeight="1" x14ac:dyDescent="0.3">
      <c r="A229" s="13" t="s">
        <v>374</v>
      </c>
      <c r="B229" s="14">
        <v>45721</v>
      </c>
      <c r="C229" s="13" t="s">
        <v>76</v>
      </c>
      <c r="D229" s="13" t="s">
        <v>77</v>
      </c>
      <c r="E229" s="13" t="s">
        <v>32</v>
      </c>
      <c r="F229" s="13" t="s">
        <v>33</v>
      </c>
      <c r="G229" s="13" t="s">
        <v>34</v>
      </c>
      <c r="H229" s="13">
        <v>5</v>
      </c>
      <c r="I229" s="13">
        <v>59.99</v>
      </c>
      <c r="J229" s="13" t="s">
        <v>21</v>
      </c>
      <c r="K229" s="13" t="s">
        <v>51</v>
      </c>
      <c r="L229" s="13" t="s">
        <v>28</v>
      </c>
      <c r="M229" s="14">
        <v>45291</v>
      </c>
      <c r="N229" s="13">
        <v>299.95</v>
      </c>
      <c r="O229" s="10"/>
      <c r="P229" s="13"/>
      <c r="Q229" s="10"/>
      <c r="R229" s="17">
        <f t="shared" ca="1" si="11"/>
        <v>881</v>
      </c>
      <c r="S229" s="43">
        <f t="shared" si="9"/>
        <v>45747</v>
      </c>
      <c r="T229" s="44" t="str">
        <f t="shared" si="10"/>
        <v>Wes</v>
      </c>
      <c r="U229" s="13"/>
      <c r="V229" s="10"/>
      <c r="W229" s="10"/>
      <c r="X229" s="10"/>
      <c r="Y229" s="10"/>
      <c r="Z229" s="10"/>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0"/>
      <c r="BC229" s="10"/>
      <c r="BD229" s="10"/>
      <c r="BE229" s="10"/>
      <c r="BF229" s="10"/>
      <c r="BG229" s="10"/>
      <c r="BH229" s="10"/>
      <c r="BI229" s="10"/>
      <c r="BJ229" s="10"/>
      <c r="BK229" s="10"/>
      <c r="BL229" s="10"/>
      <c r="BM229" s="10"/>
      <c r="BN229" s="10"/>
      <c r="BO229" s="10"/>
      <c r="BP229" s="10"/>
      <c r="BQ229" s="10"/>
      <c r="BR229" s="10"/>
      <c r="BS229" s="10"/>
      <c r="BT229" s="10"/>
      <c r="BU229" s="10"/>
      <c r="BV229" s="10"/>
      <c r="BW229" s="10"/>
      <c r="BX229" s="10"/>
      <c r="BY229" s="10"/>
      <c r="BZ229" s="10"/>
      <c r="CA229" s="10"/>
      <c r="CB229" s="10"/>
      <c r="CC229" s="10"/>
      <c r="CD229" s="10"/>
      <c r="CE229" s="10"/>
      <c r="CF229" s="10"/>
      <c r="CG229" s="10"/>
      <c r="CH229" s="10"/>
      <c r="CI229" s="10"/>
      <c r="CJ229" s="10"/>
      <c r="CK229" s="10"/>
      <c r="CL229" s="10"/>
      <c r="CM229" s="10"/>
      <c r="CN229" s="10"/>
      <c r="CO229" s="10"/>
      <c r="CP229" s="10"/>
      <c r="CQ229" s="10"/>
      <c r="CR229" s="10"/>
      <c r="CS229" s="10"/>
      <c r="CT229" s="10"/>
      <c r="CU229" s="10"/>
      <c r="CV229" s="10"/>
      <c r="CW229" s="10"/>
      <c r="CX229" s="10"/>
      <c r="CY229" s="10"/>
      <c r="CZ229" s="10"/>
      <c r="DA229" s="10"/>
      <c r="DB229" s="10"/>
      <c r="DC229" s="10"/>
      <c r="DD229" s="10"/>
      <c r="DE229" s="10"/>
      <c r="DF229" s="10"/>
      <c r="DG229" s="10"/>
      <c r="DH229" s="10"/>
    </row>
    <row r="230" spans="1:112" ht="15.75" customHeight="1" x14ac:dyDescent="0.3">
      <c r="A230" s="13" t="s">
        <v>375</v>
      </c>
      <c r="B230" s="14">
        <v>45723</v>
      </c>
      <c r="C230" s="13" t="s">
        <v>16</v>
      </c>
      <c r="D230" s="13" t="s">
        <v>17</v>
      </c>
      <c r="E230" s="13" t="s">
        <v>118</v>
      </c>
      <c r="F230" s="13" t="s">
        <v>119</v>
      </c>
      <c r="G230" s="13" t="s">
        <v>20</v>
      </c>
      <c r="H230" s="13">
        <v>2</v>
      </c>
      <c r="I230" s="13">
        <v>89.99</v>
      </c>
      <c r="J230" s="13" t="s">
        <v>27</v>
      </c>
      <c r="K230" s="13" t="s">
        <v>51</v>
      </c>
      <c r="L230" s="13" t="s">
        <v>28</v>
      </c>
      <c r="M230" s="14">
        <v>45295</v>
      </c>
      <c r="N230" s="13">
        <v>179.98</v>
      </c>
      <c r="O230" s="10"/>
      <c r="P230" s="13"/>
      <c r="Q230" s="10"/>
      <c r="R230" s="17">
        <f t="shared" ca="1" si="11"/>
        <v>877</v>
      </c>
      <c r="S230" s="43">
        <f t="shared" si="9"/>
        <v>45747</v>
      </c>
      <c r="T230" s="44" t="str">
        <f t="shared" si="10"/>
        <v>Wes</v>
      </c>
      <c r="U230" s="13"/>
      <c r="V230" s="10"/>
      <c r="W230" s="10"/>
      <c r="X230" s="10"/>
      <c r="Y230" s="10"/>
      <c r="Z230" s="10"/>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0"/>
      <c r="BC230" s="10"/>
      <c r="BD230" s="10"/>
      <c r="BE230" s="10"/>
      <c r="BF230" s="10"/>
      <c r="BG230" s="10"/>
      <c r="BH230" s="10"/>
      <c r="BI230" s="10"/>
      <c r="BJ230" s="10"/>
      <c r="BK230" s="10"/>
      <c r="BL230" s="10"/>
      <c r="BM230" s="10"/>
      <c r="BN230" s="10"/>
      <c r="BO230" s="10"/>
      <c r="BP230" s="10"/>
      <c r="BQ230" s="10"/>
      <c r="BR230" s="10"/>
      <c r="BS230" s="10"/>
      <c r="BT230" s="10"/>
      <c r="BU230" s="10"/>
      <c r="BV230" s="10"/>
      <c r="BW230" s="10"/>
      <c r="BX230" s="10"/>
      <c r="BY230" s="10"/>
      <c r="BZ230" s="10"/>
      <c r="CA230" s="10"/>
      <c r="CB230" s="10"/>
      <c r="CC230" s="10"/>
      <c r="CD230" s="10"/>
      <c r="CE230" s="10"/>
      <c r="CF230" s="10"/>
      <c r="CG230" s="10"/>
      <c r="CH230" s="10"/>
      <c r="CI230" s="10"/>
      <c r="CJ230" s="10"/>
      <c r="CK230" s="10"/>
      <c r="CL230" s="10"/>
      <c r="CM230" s="10"/>
      <c r="CN230" s="10"/>
      <c r="CO230" s="10"/>
      <c r="CP230" s="10"/>
      <c r="CQ230" s="10"/>
      <c r="CR230" s="10"/>
      <c r="CS230" s="10"/>
      <c r="CT230" s="10"/>
      <c r="CU230" s="10"/>
      <c r="CV230" s="10"/>
      <c r="CW230" s="10"/>
      <c r="CX230" s="10"/>
      <c r="CY230" s="10"/>
      <c r="CZ230" s="10"/>
      <c r="DA230" s="10"/>
      <c r="DB230" s="10"/>
      <c r="DC230" s="10"/>
      <c r="DD230" s="10"/>
      <c r="DE230" s="10"/>
      <c r="DF230" s="10"/>
      <c r="DG230" s="10"/>
      <c r="DH230" s="10"/>
    </row>
    <row r="231" spans="1:112" ht="15.75" customHeight="1" x14ac:dyDescent="0.3">
      <c r="A231" s="13" t="s">
        <v>376</v>
      </c>
      <c r="B231" s="14">
        <v>45723</v>
      </c>
      <c r="C231" s="13" t="s">
        <v>121</v>
      </c>
      <c r="D231" s="13" t="s">
        <v>122</v>
      </c>
      <c r="E231" s="13" t="s">
        <v>18</v>
      </c>
      <c r="F231" s="13" t="s">
        <v>19</v>
      </c>
      <c r="G231" s="13" t="s">
        <v>20</v>
      </c>
      <c r="H231" s="13">
        <v>5</v>
      </c>
      <c r="I231" s="13">
        <v>249.99</v>
      </c>
      <c r="J231" s="13" t="s">
        <v>21</v>
      </c>
      <c r="K231" s="13" t="s">
        <v>64</v>
      </c>
      <c r="L231" s="13" t="s">
        <v>37</v>
      </c>
      <c r="M231" s="14">
        <v>44540</v>
      </c>
      <c r="N231" s="13">
        <v>1249.95</v>
      </c>
      <c r="O231" s="10"/>
      <c r="P231" s="13"/>
      <c r="Q231" s="10"/>
      <c r="R231" s="17">
        <f t="shared" ca="1" si="11"/>
        <v>1632</v>
      </c>
      <c r="S231" s="43">
        <f t="shared" si="9"/>
        <v>45747</v>
      </c>
      <c r="T231" s="44" t="str">
        <f t="shared" si="10"/>
        <v>Eas</v>
      </c>
      <c r="U231" s="13"/>
      <c r="V231" s="10"/>
      <c r="W231" s="10"/>
      <c r="X231" s="10"/>
      <c r="Y231" s="10"/>
      <c r="Z231" s="10"/>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0"/>
      <c r="BC231" s="10"/>
      <c r="BD231" s="10"/>
      <c r="BE231" s="10"/>
      <c r="BF231" s="10"/>
      <c r="BG231" s="10"/>
      <c r="BH231" s="10"/>
      <c r="BI231" s="10"/>
      <c r="BJ231" s="10"/>
      <c r="BK231" s="10"/>
      <c r="BL231" s="10"/>
      <c r="BM231" s="10"/>
      <c r="BN231" s="10"/>
      <c r="BO231" s="10"/>
      <c r="BP231" s="10"/>
      <c r="BQ231" s="10"/>
      <c r="BR231" s="10"/>
      <c r="BS231" s="10"/>
      <c r="BT231" s="10"/>
      <c r="BU231" s="10"/>
      <c r="BV231" s="10"/>
      <c r="BW231" s="10"/>
      <c r="BX231" s="10"/>
      <c r="BY231" s="10"/>
      <c r="BZ231" s="10"/>
      <c r="CA231" s="10"/>
      <c r="CB231" s="10"/>
      <c r="CC231" s="10"/>
      <c r="CD231" s="10"/>
      <c r="CE231" s="10"/>
      <c r="CF231" s="10"/>
      <c r="CG231" s="10"/>
      <c r="CH231" s="10"/>
      <c r="CI231" s="10"/>
      <c r="CJ231" s="10"/>
      <c r="CK231" s="10"/>
      <c r="CL231" s="10"/>
      <c r="CM231" s="10"/>
      <c r="CN231" s="10"/>
      <c r="CO231" s="10"/>
      <c r="CP231" s="10"/>
      <c r="CQ231" s="10"/>
      <c r="CR231" s="10"/>
      <c r="CS231" s="10"/>
      <c r="CT231" s="10"/>
      <c r="CU231" s="10"/>
      <c r="CV231" s="10"/>
      <c r="CW231" s="10"/>
      <c r="CX231" s="10"/>
      <c r="CY231" s="10"/>
      <c r="CZ231" s="10"/>
      <c r="DA231" s="10"/>
      <c r="DB231" s="10"/>
      <c r="DC231" s="10"/>
      <c r="DD231" s="10"/>
      <c r="DE231" s="10"/>
      <c r="DF231" s="10"/>
      <c r="DG231" s="10"/>
      <c r="DH231" s="10"/>
    </row>
    <row r="232" spans="1:112" ht="15.75" customHeight="1" x14ac:dyDescent="0.3">
      <c r="A232" s="13" t="s">
        <v>377</v>
      </c>
      <c r="B232" s="14">
        <v>45724</v>
      </c>
      <c r="C232" s="13" t="s">
        <v>227</v>
      </c>
      <c r="D232" s="13" t="s">
        <v>228</v>
      </c>
      <c r="E232" s="13" t="s">
        <v>45</v>
      </c>
      <c r="F232" s="13" t="s">
        <v>46</v>
      </c>
      <c r="G232" s="13" t="s">
        <v>47</v>
      </c>
      <c r="H232" s="13">
        <v>2</v>
      </c>
      <c r="I232" s="13">
        <v>149.99</v>
      </c>
      <c r="J232" s="13" t="s">
        <v>35</v>
      </c>
      <c r="K232" s="13" t="s">
        <v>22</v>
      </c>
      <c r="L232" s="13" t="s">
        <v>28</v>
      </c>
      <c r="M232" s="14">
        <v>44632</v>
      </c>
      <c r="N232" s="13">
        <v>299.98</v>
      </c>
      <c r="O232" s="10"/>
      <c r="P232" s="13"/>
      <c r="Q232" s="10"/>
      <c r="R232" s="17">
        <f t="shared" ca="1" si="11"/>
        <v>1540</v>
      </c>
      <c r="S232" s="43">
        <f t="shared" si="9"/>
        <v>45747</v>
      </c>
      <c r="T232" s="44" t="str">
        <f t="shared" si="10"/>
        <v>Cen</v>
      </c>
      <c r="U232" s="13"/>
      <c r="V232" s="10"/>
      <c r="W232" s="10"/>
      <c r="X232" s="10"/>
      <c r="Y232" s="10"/>
      <c r="Z232" s="10"/>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0"/>
      <c r="BC232" s="10"/>
      <c r="BD232" s="10"/>
      <c r="BE232" s="10"/>
      <c r="BF232" s="10"/>
      <c r="BG232" s="10"/>
      <c r="BH232" s="10"/>
      <c r="BI232" s="10"/>
      <c r="BJ232" s="10"/>
      <c r="BK232" s="10"/>
      <c r="BL232" s="10"/>
      <c r="BM232" s="10"/>
      <c r="BN232" s="10"/>
      <c r="BO232" s="10"/>
      <c r="BP232" s="10"/>
      <c r="BQ232" s="10"/>
      <c r="BR232" s="10"/>
      <c r="BS232" s="10"/>
      <c r="BT232" s="10"/>
      <c r="BU232" s="10"/>
      <c r="BV232" s="10"/>
      <c r="BW232" s="10"/>
      <c r="BX232" s="10"/>
      <c r="BY232" s="10"/>
      <c r="BZ232" s="10"/>
      <c r="CA232" s="10"/>
      <c r="CB232" s="10"/>
      <c r="CC232" s="10"/>
      <c r="CD232" s="10"/>
      <c r="CE232" s="10"/>
      <c r="CF232" s="10"/>
      <c r="CG232" s="10"/>
      <c r="CH232" s="10"/>
      <c r="CI232" s="10"/>
      <c r="CJ232" s="10"/>
      <c r="CK232" s="10"/>
      <c r="CL232" s="10"/>
      <c r="CM232" s="10"/>
      <c r="CN232" s="10"/>
      <c r="CO232" s="10"/>
      <c r="CP232" s="10"/>
      <c r="CQ232" s="10"/>
      <c r="CR232" s="10"/>
      <c r="CS232" s="10"/>
      <c r="CT232" s="10"/>
      <c r="CU232" s="10"/>
      <c r="CV232" s="10"/>
      <c r="CW232" s="10"/>
      <c r="CX232" s="10"/>
      <c r="CY232" s="10"/>
      <c r="CZ232" s="10"/>
      <c r="DA232" s="10"/>
      <c r="DB232" s="10"/>
      <c r="DC232" s="10"/>
      <c r="DD232" s="10"/>
      <c r="DE232" s="10"/>
      <c r="DF232" s="10"/>
      <c r="DG232" s="10"/>
      <c r="DH232" s="10"/>
    </row>
    <row r="233" spans="1:112" ht="15.75" customHeight="1" x14ac:dyDescent="0.3">
      <c r="A233" s="13" t="s">
        <v>378</v>
      </c>
      <c r="B233" s="14">
        <v>45724</v>
      </c>
      <c r="C233" s="13" t="s">
        <v>145</v>
      </c>
      <c r="D233" s="13" t="s">
        <v>146</v>
      </c>
      <c r="E233" s="13" t="s">
        <v>62</v>
      </c>
      <c r="F233" s="13" t="s">
        <v>63</v>
      </c>
      <c r="G233" s="13" t="s">
        <v>20</v>
      </c>
      <c r="H233" s="13">
        <v>5</v>
      </c>
      <c r="I233" s="13">
        <v>899.99</v>
      </c>
      <c r="J233" s="13" t="s">
        <v>35</v>
      </c>
      <c r="K233" s="13" t="s">
        <v>64</v>
      </c>
      <c r="L233" s="13" t="s">
        <v>28</v>
      </c>
      <c r="M233" s="14">
        <v>45389</v>
      </c>
      <c r="N233" s="13">
        <v>4499.95</v>
      </c>
      <c r="O233" s="10"/>
      <c r="P233" s="13"/>
      <c r="Q233" s="10"/>
      <c r="R233" s="17">
        <f t="shared" ca="1" si="11"/>
        <v>783</v>
      </c>
      <c r="S233" s="43">
        <f t="shared" si="9"/>
        <v>45747</v>
      </c>
      <c r="T233" s="44" t="str">
        <f t="shared" si="10"/>
        <v>Eas</v>
      </c>
      <c r="U233" s="13"/>
      <c r="V233" s="10"/>
      <c r="W233" s="10"/>
      <c r="X233" s="10"/>
      <c r="Y233" s="10"/>
      <c r="Z233" s="10"/>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0"/>
      <c r="BC233" s="10"/>
      <c r="BD233" s="10"/>
      <c r="BE233" s="10"/>
      <c r="BF233" s="10"/>
      <c r="BG233" s="10"/>
      <c r="BH233" s="10"/>
      <c r="BI233" s="10"/>
      <c r="BJ233" s="10"/>
      <c r="BK233" s="10"/>
      <c r="BL233" s="10"/>
      <c r="BM233" s="10"/>
      <c r="BN233" s="10"/>
      <c r="BO233" s="10"/>
      <c r="BP233" s="10"/>
      <c r="BQ233" s="10"/>
      <c r="BR233" s="10"/>
      <c r="BS233" s="10"/>
      <c r="BT233" s="10"/>
      <c r="BU233" s="10"/>
      <c r="BV233" s="10"/>
      <c r="BW233" s="10"/>
      <c r="BX233" s="10"/>
      <c r="BY233" s="10"/>
      <c r="BZ233" s="10"/>
      <c r="CA233" s="10"/>
      <c r="CB233" s="10"/>
      <c r="CC233" s="10"/>
      <c r="CD233" s="10"/>
      <c r="CE233" s="10"/>
      <c r="CF233" s="10"/>
      <c r="CG233" s="10"/>
      <c r="CH233" s="10"/>
      <c r="CI233" s="10"/>
      <c r="CJ233" s="10"/>
      <c r="CK233" s="10"/>
      <c r="CL233" s="10"/>
      <c r="CM233" s="10"/>
      <c r="CN233" s="10"/>
      <c r="CO233" s="10"/>
      <c r="CP233" s="10"/>
      <c r="CQ233" s="10"/>
      <c r="CR233" s="10"/>
      <c r="CS233" s="10"/>
      <c r="CT233" s="10"/>
      <c r="CU233" s="10"/>
      <c r="CV233" s="10"/>
      <c r="CW233" s="10"/>
      <c r="CX233" s="10"/>
      <c r="CY233" s="10"/>
      <c r="CZ233" s="10"/>
      <c r="DA233" s="10"/>
      <c r="DB233" s="10"/>
      <c r="DC233" s="10"/>
      <c r="DD233" s="10"/>
      <c r="DE233" s="10"/>
      <c r="DF233" s="10"/>
      <c r="DG233" s="10"/>
      <c r="DH233" s="10"/>
    </row>
    <row r="234" spans="1:112" ht="15.75" customHeight="1" x14ac:dyDescent="0.3">
      <c r="A234" s="13" t="s">
        <v>379</v>
      </c>
      <c r="B234" s="14">
        <v>45724</v>
      </c>
      <c r="C234" s="13" t="s">
        <v>56</v>
      </c>
      <c r="D234" s="13" t="s">
        <v>57</v>
      </c>
      <c r="E234" s="13" t="s">
        <v>45</v>
      </c>
      <c r="F234" s="13" t="s">
        <v>46</v>
      </c>
      <c r="G234" s="13" t="s">
        <v>47</v>
      </c>
      <c r="H234" s="13">
        <v>4</v>
      </c>
      <c r="I234" s="13">
        <v>149.99</v>
      </c>
      <c r="J234" s="13" t="s">
        <v>21</v>
      </c>
      <c r="K234" s="13" t="s">
        <v>22</v>
      </c>
      <c r="L234" s="13" t="s">
        <v>37</v>
      </c>
      <c r="M234" s="14">
        <v>45263</v>
      </c>
      <c r="N234" s="13">
        <v>599.96</v>
      </c>
      <c r="O234" s="10"/>
      <c r="P234" s="13"/>
      <c r="Q234" s="10"/>
      <c r="R234" s="17">
        <f t="shared" ca="1" si="11"/>
        <v>909</v>
      </c>
      <c r="S234" s="43">
        <f t="shared" si="9"/>
        <v>45747</v>
      </c>
      <c r="T234" s="44" t="str">
        <f t="shared" si="10"/>
        <v>Cen</v>
      </c>
      <c r="U234" s="13"/>
      <c r="V234" s="10"/>
      <c r="W234" s="10"/>
      <c r="X234" s="10"/>
      <c r="Y234" s="10"/>
      <c r="Z234" s="10"/>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0"/>
      <c r="BC234" s="10"/>
      <c r="BD234" s="10"/>
      <c r="BE234" s="10"/>
      <c r="BF234" s="10"/>
      <c r="BG234" s="10"/>
      <c r="BH234" s="10"/>
      <c r="BI234" s="10"/>
      <c r="BJ234" s="10"/>
      <c r="BK234" s="10"/>
      <c r="BL234" s="10"/>
      <c r="BM234" s="10"/>
      <c r="BN234" s="10"/>
      <c r="BO234" s="10"/>
      <c r="BP234" s="10"/>
      <c r="BQ234" s="10"/>
      <c r="BR234" s="10"/>
      <c r="BS234" s="10"/>
      <c r="BT234" s="10"/>
      <c r="BU234" s="10"/>
      <c r="BV234" s="10"/>
      <c r="BW234" s="10"/>
      <c r="BX234" s="10"/>
      <c r="BY234" s="10"/>
      <c r="BZ234" s="10"/>
      <c r="CA234" s="10"/>
      <c r="CB234" s="10"/>
      <c r="CC234" s="10"/>
      <c r="CD234" s="10"/>
      <c r="CE234" s="10"/>
      <c r="CF234" s="10"/>
      <c r="CG234" s="10"/>
      <c r="CH234" s="10"/>
      <c r="CI234" s="10"/>
      <c r="CJ234" s="10"/>
      <c r="CK234" s="10"/>
      <c r="CL234" s="10"/>
      <c r="CM234" s="10"/>
      <c r="CN234" s="10"/>
      <c r="CO234" s="10"/>
      <c r="CP234" s="10"/>
      <c r="CQ234" s="10"/>
      <c r="CR234" s="10"/>
      <c r="CS234" s="10"/>
      <c r="CT234" s="10"/>
      <c r="CU234" s="10"/>
      <c r="CV234" s="10"/>
      <c r="CW234" s="10"/>
      <c r="CX234" s="10"/>
      <c r="CY234" s="10"/>
      <c r="CZ234" s="10"/>
      <c r="DA234" s="10"/>
      <c r="DB234" s="10"/>
      <c r="DC234" s="10"/>
      <c r="DD234" s="10"/>
      <c r="DE234" s="10"/>
      <c r="DF234" s="10"/>
      <c r="DG234" s="10"/>
      <c r="DH234" s="10"/>
    </row>
    <row r="235" spans="1:112" ht="15.75" customHeight="1" x14ac:dyDescent="0.3">
      <c r="A235" s="13" t="s">
        <v>380</v>
      </c>
      <c r="B235" s="14">
        <v>45726</v>
      </c>
      <c r="C235" s="13" t="s">
        <v>145</v>
      </c>
      <c r="D235" s="13" t="s">
        <v>146</v>
      </c>
      <c r="E235" s="13" t="s">
        <v>18</v>
      </c>
      <c r="F235" s="13" t="s">
        <v>19</v>
      </c>
      <c r="G235" s="13" t="s">
        <v>20</v>
      </c>
      <c r="H235" s="13">
        <v>1</v>
      </c>
      <c r="I235" s="13">
        <v>249.99</v>
      </c>
      <c r="J235" s="13" t="s">
        <v>21</v>
      </c>
      <c r="K235" s="13" t="s">
        <v>41</v>
      </c>
      <c r="L235" s="13" t="s">
        <v>37</v>
      </c>
      <c r="M235" s="14">
        <v>45117</v>
      </c>
      <c r="N235" s="13">
        <v>249.99</v>
      </c>
      <c r="O235" s="10"/>
      <c r="P235" s="13"/>
      <c r="Q235" s="10"/>
      <c r="R235" s="17">
        <f t="shared" ca="1" si="11"/>
        <v>1055</v>
      </c>
      <c r="S235" s="43">
        <f t="shared" si="9"/>
        <v>45747</v>
      </c>
      <c r="T235" s="44" t="str">
        <f t="shared" si="10"/>
        <v>Nor</v>
      </c>
      <c r="U235" s="13"/>
      <c r="V235" s="10"/>
      <c r="W235" s="10"/>
      <c r="X235" s="10"/>
      <c r="Y235" s="10"/>
      <c r="Z235" s="10"/>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0"/>
      <c r="BC235" s="10"/>
      <c r="BD235" s="10"/>
      <c r="BE235" s="10"/>
      <c r="BF235" s="10"/>
      <c r="BG235" s="10"/>
      <c r="BH235" s="10"/>
      <c r="BI235" s="10"/>
      <c r="BJ235" s="10"/>
      <c r="BK235" s="10"/>
      <c r="BL235" s="10"/>
      <c r="BM235" s="10"/>
      <c r="BN235" s="10"/>
      <c r="BO235" s="10"/>
      <c r="BP235" s="10"/>
      <c r="BQ235" s="10"/>
      <c r="BR235" s="10"/>
      <c r="BS235" s="10"/>
      <c r="BT235" s="10"/>
      <c r="BU235" s="10"/>
      <c r="BV235" s="10"/>
      <c r="BW235" s="10"/>
      <c r="BX235" s="10"/>
      <c r="BY235" s="10"/>
      <c r="BZ235" s="10"/>
      <c r="CA235" s="10"/>
      <c r="CB235" s="10"/>
      <c r="CC235" s="10"/>
      <c r="CD235" s="10"/>
      <c r="CE235" s="10"/>
      <c r="CF235" s="10"/>
      <c r="CG235" s="10"/>
      <c r="CH235" s="10"/>
      <c r="CI235" s="10"/>
      <c r="CJ235" s="10"/>
      <c r="CK235" s="10"/>
      <c r="CL235" s="10"/>
      <c r="CM235" s="10"/>
      <c r="CN235" s="10"/>
      <c r="CO235" s="10"/>
      <c r="CP235" s="10"/>
      <c r="CQ235" s="10"/>
      <c r="CR235" s="10"/>
      <c r="CS235" s="10"/>
      <c r="CT235" s="10"/>
      <c r="CU235" s="10"/>
      <c r="CV235" s="10"/>
      <c r="CW235" s="10"/>
      <c r="CX235" s="10"/>
      <c r="CY235" s="10"/>
      <c r="CZ235" s="10"/>
      <c r="DA235" s="10"/>
      <c r="DB235" s="10"/>
      <c r="DC235" s="10"/>
      <c r="DD235" s="10"/>
      <c r="DE235" s="10"/>
      <c r="DF235" s="10"/>
      <c r="DG235" s="10"/>
      <c r="DH235" s="10"/>
    </row>
    <row r="236" spans="1:112" ht="15.75" customHeight="1" x14ac:dyDescent="0.3">
      <c r="A236" s="13" t="s">
        <v>381</v>
      </c>
      <c r="B236" s="14">
        <v>45734</v>
      </c>
      <c r="C236" s="13" t="s">
        <v>193</v>
      </c>
      <c r="D236" s="13" t="s">
        <v>194</v>
      </c>
      <c r="E236" s="13" t="s">
        <v>32</v>
      </c>
      <c r="F236" s="13" t="s">
        <v>33</v>
      </c>
      <c r="G236" s="13" t="s">
        <v>34</v>
      </c>
      <c r="H236" s="13">
        <v>2</v>
      </c>
      <c r="I236" s="13">
        <v>59.99</v>
      </c>
      <c r="J236" s="13" t="s">
        <v>27</v>
      </c>
      <c r="K236" s="13" t="s">
        <v>51</v>
      </c>
      <c r="L236" s="13" t="s">
        <v>23</v>
      </c>
      <c r="M236" s="14">
        <v>45193</v>
      </c>
      <c r="N236" s="13">
        <v>119.98</v>
      </c>
      <c r="O236" s="10"/>
      <c r="P236" s="13"/>
      <c r="Q236" s="10"/>
      <c r="R236" s="17">
        <f t="shared" ca="1" si="11"/>
        <v>979</v>
      </c>
      <c r="S236" s="43">
        <f t="shared" si="9"/>
        <v>45747</v>
      </c>
      <c r="T236" s="44" t="str">
        <f t="shared" si="10"/>
        <v>Wes</v>
      </c>
      <c r="U236" s="13"/>
      <c r="V236" s="10"/>
      <c r="W236" s="10"/>
      <c r="X236" s="10"/>
      <c r="Y236" s="10"/>
      <c r="Z236" s="10"/>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0"/>
      <c r="BC236" s="10"/>
      <c r="BD236" s="10"/>
      <c r="BE236" s="10"/>
      <c r="BF236" s="10"/>
      <c r="BG236" s="10"/>
      <c r="BH236" s="10"/>
      <c r="BI236" s="10"/>
      <c r="BJ236" s="10"/>
      <c r="BK236" s="10"/>
      <c r="BL236" s="10"/>
      <c r="BM236" s="10"/>
      <c r="BN236" s="10"/>
      <c r="BO236" s="10"/>
      <c r="BP236" s="10"/>
      <c r="BQ236" s="10"/>
      <c r="BR236" s="10"/>
      <c r="BS236" s="10"/>
      <c r="BT236" s="10"/>
      <c r="BU236" s="10"/>
      <c r="BV236" s="10"/>
      <c r="BW236" s="10"/>
      <c r="BX236" s="10"/>
      <c r="BY236" s="10"/>
      <c r="BZ236" s="10"/>
      <c r="CA236" s="10"/>
      <c r="CB236" s="10"/>
      <c r="CC236" s="10"/>
      <c r="CD236" s="10"/>
      <c r="CE236" s="10"/>
      <c r="CF236" s="10"/>
      <c r="CG236" s="10"/>
      <c r="CH236" s="10"/>
      <c r="CI236" s="10"/>
      <c r="CJ236" s="10"/>
      <c r="CK236" s="10"/>
      <c r="CL236" s="10"/>
      <c r="CM236" s="10"/>
      <c r="CN236" s="10"/>
      <c r="CO236" s="10"/>
      <c r="CP236" s="10"/>
      <c r="CQ236" s="10"/>
      <c r="CR236" s="10"/>
      <c r="CS236" s="10"/>
      <c r="CT236" s="10"/>
      <c r="CU236" s="10"/>
      <c r="CV236" s="10"/>
      <c r="CW236" s="10"/>
      <c r="CX236" s="10"/>
      <c r="CY236" s="10"/>
      <c r="CZ236" s="10"/>
      <c r="DA236" s="10"/>
      <c r="DB236" s="10"/>
      <c r="DC236" s="10"/>
      <c r="DD236" s="10"/>
      <c r="DE236" s="10"/>
      <c r="DF236" s="10"/>
      <c r="DG236" s="10"/>
      <c r="DH236" s="10"/>
    </row>
    <row r="237" spans="1:112" ht="15.75" customHeight="1" x14ac:dyDescent="0.3">
      <c r="A237" s="13" t="s">
        <v>382</v>
      </c>
      <c r="B237" s="14">
        <v>45737</v>
      </c>
      <c r="C237" s="13" t="s">
        <v>133</v>
      </c>
      <c r="D237" s="13" t="s">
        <v>134</v>
      </c>
      <c r="E237" s="13" t="s">
        <v>45</v>
      </c>
      <c r="F237" s="13" t="s">
        <v>46</v>
      </c>
      <c r="G237" s="13" t="s">
        <v>47</v>
      </c>
      <c r="H237" s="13">
        <v>2</v>
      </c>
      <c r="I237" s="13">
        <v>149.99</v>
      </c>
      <c r="J237" s="13" t="s">
        <v>21</v>
      </c>
      <c r="K237" s="13" t="s">
        <v>51</v>
      </c>
      <c r="L237" s="13" t="s">
        <v>28</v>
      </c>
      <c r="M237" s="14">
        <v>45233</v>
      </c>
      <c r="N237" s="13">
        <v>299.98</v>
      </c>
      <c r="O237" s="10"/>
      <c r="P237" s="13"/>
      <c r="Q237" s="10"/>
      <c r="R237" s="17">
        <f t="shared" ca="1" si="11"/>
        <v>939</v>
      </c>
      <c r="S237" s="43">
        <f t="shared" si="9"/>
        <v>45747</v>
      </c>
      <c r="T237" s="44" t="str">
        <f t="shared" si="10"/>
        <v>Wes</v>
      </c>
      <c r="U237" s="13"/>
      <c r="V237" s="10"/>
      <c r="W237" s="10"/>
      <c r="X237" s="10"/>
      <c r="Y237" s="10"/>
      <c r="Z237" s="10"/>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0"/>
      <c r="BC237" s="10"/>
      <c r="BD237" s="10"/>
      <c r="BE237" s="10"/>
      <c r="BF237" s="10"/>
      <c r="BG237" s="10"/>
      <c r="BH237" s="10"/>
      <c r="BI237" s="10"/>
      <c r="BJ237" s="10"/>
      <c r="BK237" s="10"/>
      <c r="BL237" s="10"/>
      <c r="BM237" s="10"/>
      <c r="BN237" s="10"/>
      <c r="BO237" s="10"/>
      <c r="BP237" s="10"/>
      <c r="BQ237" s="10"/>
      <c r="BR237" s="10"/>
      <c r="BS237" s="10"/>
      <c r="BT237" s="10"/>
      <c r="BU237" s="10"/>
      <c r="BV237" s="10"/>
      <c r="BW237" s="10"/>
      <c r="BX237" s="10"/>
      <c r="BY237" s="10"/>
      <c r="BZ237" s="10"/>
      <c r="CA237" s="10"/>
      <c r="CB237" s="10"/>
      <c r="CC237" s="10"/>
      <c r="CD237" s="10"/>
      <c r="CE237" s="10"/>
      <c r="CF237" s="10"/>
      <c r="CG237" s="10"/>
      <c r="CH237" s="10"/>
      <c r="CI237" s="10"/>
      <c r="CJ237" s="10"/>
      <c r="CK237" s="10"/>
      <c r="CL237" s="10"/>
      <c r="CM237" s="10"/>
      <c r="CN237" s="10"/>
      <c r="CO237" s="10"/>
      <c r="CP237" s="10"/>
      <c r="CQ237" s="10"/>
      <c r="CR237" s="10"/>
      <c r="CS237" s="10"/>
      <c r="CT237" s="10"/>
      <c r="CU237" s="10"/>
      <c r="CV237" s="10"/>
      <c r="CW237" s="10"/>
      <c r="CX237" s="10"/>
      <c r="CY237" s="10"/>
      <c r="CZ237" s="10"/>
      <c r="DA237" s="10"/>
      <c r="DB237" s="10"/>
      <c r="DC237" s="10"/>
      <c r="DD237" s="10"/>
      <c r="DE237" s="10"/>
      <c r="DF237" s="10"/>
      <c r="DG237" s="10"/>
      <c r="DH237" s="10"/>
    </row>
    <row r="238" spans="1:112" ht="15.75" customHeight="1" x14ac:dyDescent="0.3">
      <c r="A238" s="13" t="s">
        <v>383</v>
      </c>
      <c r="B238" s="14">
        <v>45737</v>
      </c>
      <c r="C238" s="13" t="s">
        <v>151</v>
      </c>
      <c r="D238" s="13" t="s">
        <v>152</v>
      </c>
      <c r="E238" s="13" t="s">
        <v>62</v>
      </c>
      <c r="F238" s="13" t="s">
        <v>63</v>
      </c>
      <c r="G238" s="13" t="s">
        <v>20</v>
      </c>
      <c r="H238" s="13">
        <v>3</v>
      </c>
      <c r="I238" s="13">
        <v>899.99</v>
      </c>
      <c r="J238" s="13" t="s">
        <v>58</v>
      </c>
      <c r="K238" s="13" t="s">
        <v>41</v>
      </c>
      <c r="L238" s="13" t="s">
        <v>28</v>
      </c>
      <c r="M238" s="14">
        <v>44876</v>
      </c>
      <c r="N238" s="13">
        <v>2699.97</v>
      </c>
      <c r="O238" s="10"/>
      <c r="P238" s="13"/>
      <c r="Q238" s="10"/>
      <c r="R238" s="17">
        <f t="shared" ca="1" si="11"/>
        <v>1296</v>
      </c>
      <c r="S238" s="43">
        <f t="shared" si="9"/>
        <v>45747</v>
      </c>
      <c r="T238" s="44" t="str">
        <f t="shared" si="10"/>
        <v>Nor</v>
      </c>
      <c r="U238" s="13"/>
      <c r="V238" s="10"/>
      <c r="W238" s="10"/>
      <c r="X238" s="10"/>
      <c r="Y238" s="10"/>
      <c r="Z238" s="10"/>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0"/>
      <c r="BC238" s="10"/>
      <c r="BD238" s="10"/>
      <c r="BE238" s="10"/>
      <c r="BF238" s="10"/>
      <c r="BG238" s="10"/>
      <c r="BH238" s="10"/>
      <c r="BI238" s="10"/>
      <c r="BJ238" s="10"/>
      <c r="BK238" s="10"/>
      <c r="BL238" s="10"/>
      <c r="BM238" s="10"/>
      <c r="BN238" s="10"/>
      <c r="BO238" s="10"/>
      <c r="BP238" s="10"/>
      <c r="BQ238" s="10"/>
      <c r="BR238" s="10"/>
      <c r="BS238" s="10"/>
      <c r="BT238" s="10"/>
      <c r="BU238" s="10"/>
      <c r="BV238" s="10"/>
      <c r="BW238" s="10"/>
      <c r="BX238" s="10"/>
      <c r="BY238" s="10"/>
      <c r="BZ238" s="10"/>
      <c r="CA238" s="10"/>
      <c r="CB238" s="10"/>
      <c r="CC238" s="10"/>
      <c r="CD238" s="10"/>
      <c r="CE238" s="10"/>
      <c r="CF238" s="10"/>
      <c r="CG238" s="10"/>
      <c r="CH238" s="10"/>
      <c r="CI238" s="10"/>
      <c r="CJ238" s="10"/>
      <c r="CK238" s="10"/>
      <c r="CL238" s="10"/>
      <c r="CM238" s="10"/>
      <c r="CN238" s="10"/>
      <c r="CO238" s="10"/>
      <c r="CP238" s="10"/>
      <c r="CQ238" s="10"/>
      <c r="CR238" s="10"/>
      <c r="CS238" s="10"/>
      <c r="CT238" s="10"/>
      <c r="CU238" s="10"/>
      <c r="CV238" s="10"/>
      <c r="CW238" s="10"/>
      <c r="CX238" s="10"/>
      <c r="CY238" s="10"/>
      <c r="CZ238" s="10"/>
      <c r="DA238" s="10"/>
      <c r="DB238" s="10"/>
      <c r="DC238" s="10"/>
      <c r="DD238" s="10"/>
      <c r="DE238" s="10"/>
      <c r="DF238" s="10"/>
      <c r="DG238" s="10"/>
      <c r="DH238" s="10"/>
    </row>
    <row r="239" spans="1:112" ht="15.75" customHeight="1" x14ac:dyDescent="0.3">
      <c r="A239" s="13" t="s">
        <v>384</v>
      </c>
      <c r="B239" s="14">
        <v>45737</v>
      </c>
      <c r="C239" s="13" t="s">
        <v>49</v>
      </c>
      <c r="D239" s="13" t="s">
        <v>50</v>
      </c>
      <c r="E239" s="13" t="s">
        <v>62</v>
      </c>
      <c r="F239" s="13" t="s">
        <v>63</v>
      </c>
      <c r="G239" s="13" t="s">
        <v>20</v>
      </c>
      <c r="H239" s="13">
        <v>3</v>
      </c>
      <c r="I239" s="13">
        <v>899.99</v>
      </c>
      <c r="J239" s="13" t="s">
        <v>35</v>
      </c>
      <c r="K239" s="13" t="s">
        <v>41</v>
      </c>
      <c r="L239" s="13" t="s">
        <v>23</v>
      </c>
      <c r="M239" s="14">
        <v>44975</v>
      </c>
      <c r="N239" s="13">
        <v>2699.97</v>
      </c>
      <c r="O239" s="10"/>
      <c r="P239" s="13"/>
      <c r="Q239" s="10"/>
      <c r="R239" s="17">
        <f t="shared" ca="1" si="11"/>
        <v>1197</v>
      </c>
      <c r="S239" s="43">
        <f t="shared" si="9"/>
        <v>45747</v>
      </c>
      <c r="T239" s="44" t="str">
        <f t="shared" si="10"/>
        <v>Nor</v>
      </c>
      <c r="U239" s="13"/>
      <c r="V239" s="10"/>
      <c r="W239" s="10"/>
      <c r="X239" s="10"/>
      <c r="Y239" s="10"/>
      <c r="Z239" s="10"/>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0"/>
      <c r="BC239" s="10"/>
      <c r="BD239" s="10"/>
      <c r="BE239" s="10"/>
      <c r="BF239" s="10"/>
      <c r="BG239" s="10"/>
      <c r="BH239" s="10"/>
      <c r="BI239" s="10"/>
      <c r="BJ239" s="10"/>
      <c r="BK239" s="10"/>
      <c r="BL239" s="10"/>
      <c r="BM239" s="10"/>
      <c r="BN239" s="10"/>
      <c r="BO239" s="10"/>
      <c r="BP239" s="10"/>
      <c r="BQ239" s="10"/>
      <c r="BR239" s="10"/>
      <c r="BS239" s="10"/>
      <c r="BT239" s="10"/>
      <c r="BU239" s="10"/>
      <c r="BV239" s="10"/>
      <c r="BW239" s="10"/>
      <c r="BX239" s="10"/>
      <c r="BY239" s="10"/>
      <c r="BZ239" s="10"/>
      <c r="CA239" s="10"/>
      <c r="CB239" s="10"/>
      <c r="CC239" s="10"/>
      <c r="CD239" s="10"/>
      <c r="CE239" s="10"/>
      <c r="CF239" s="10"/>
      <c r="CG239" s="10"/>
      <c r="CH239" s="10"/>
      <c r="CI239" s="10"/>
      <c r="CJ239" s="10"/>
      <c r="CK239" s="10"/>
      <c r="CL239" s="10"/>
      <c r="CM239" s="10"/>
      <c r="CN239" s="10"/>
      <c r="CO239" s="10"/>
      <c r="CP239" s="10"/>
      <c r="CQ239" s="10"/>
      <c r="CR239" s="10"/>
      <c r="CS239" s="10"/>
      <c r="CT239" s="10"/>
      <c r="CU239" s="10"/>
      <c r="CV239" s="10"/>
      <c r="CW239" s="10"/>
      <c r="CX239" s="10"/>
      <c r="CY239" s="10"/>
      <c r="CZ239" s="10"/>
      <c r="DA239" s="10"/>
      <c r="DB239" s="10"/>
      <c r="DC239" s="10"/>
      <c r="DD239" s="10"/>
      <c r="DE239" s="10"/>
      <c r="DF239" s="10"/>
      <c r="DG239" s="10"/>
      <c r="DH239" s="10"/>
    </row>
    <row r="240" spans="1:112" ht="15.75" customHeight="1" x14ac:dyDescent="0.3">
      <c r="A240" s="13" t="s">
        <v>385</v>
      </c>
      <c r="B240" s="14">
        <v>45739</v>
      </c>
      <c r="C240" s="13" t="s">
        <v>16</v>
      </c>
      <c r="D240" s="13" t="s">
        <v>17</v>
      </c>
      <c r="E240" s="13" t="s">
        <v>106</v>
      </c>
      <c r="F240" s="13" t="s">
        <v>107</v>
      </c>
      <c r="G240" s="13" t="s">
        <v>47</v>
      </c>
      <c r="H240" s="13">
        <v>3</v>
      </c>
      <c r="I240" s="13">
        <v>299.99</v>
      </c>
      <c r="J240" s="13" t="s">
        <v>27</v>
      </c>
      <c r="K240" s="13" t="s">
        <v>51</v>
      </c>
      <c r="L240" s="13" t="s">
        <v>28</v>
      </c>
      <c r="M240" s="14">
        <v>45234</v>
      </c>
      <c r="N240" s="13">
        <v>899.97</v>
      </c>
      <c r="O240" s="10"/>
      <c r="P240" s="13"/>
      <c r="Q240" s="10"/>
      <c r="R240" s="17">
        <f t="shared" ca="1" si="11"/>
        <v>938</v>
      </c>
      <c r="S240" s="43">
        <f t="shared" si="9"/>
        <v>45747</v>
      </c>
      <c r="T240" s="44" t="str">
        <f t="shared" si="10"/>
        <v>Wes</v>
      </c>
      <c r="U240" s="13"/>
      <c r="V240" s="10"/>
      <c r="W240" s="10"/>
      <c r="X240" s="10"/>
      <c r="Y240" s="10"/>
      <c r="Z240" s="10"/>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0"/>
      <c r="BC240" s="10"/>
      <c r="BD240" s="10"/>
      <c r="BE240" s="10"/>
      <c r="BF240" s="10"/>
      <c r="BG240" s="10"/>
      <c r="BH240" s="10"/>
      <c r="BI240" s="10"/>
      <c r="BJ240" s="10"/>
      <c r="BK240" s="10"/>
      <c r="BL240" s="10"/>
      <c r="BM240" s="10"/>
      <c r="BN240" s="10"/>
      <c r="BO240" s="10"/>
      <c r="BP240" s="10"/>
      <c r="BQ240" s="10"/>
      <c r="BR240" s="10"/>
      <c r="BS240" s="10"/>
      <c r="BT240" s="10"/>
      <c r="BU240" s="10"/>
      <c r="BV240" s="10"/>
      <c r="BW240" s="10"/>
      <c r="BX240" s="10"/>
      <c r="BY240" s="10"/>
      <c r="BZ240" s="10"/>
      <c r="CA240" s="10"/>
      <c r="CB240" s="10"/>
      <c r="CC240" s="10"/>
      <c r="CD240" s="10"/>
      <c r="CE240" s="10"/>
      <c r="CF240" s="10"/>
      <c r="CG240" s="10"/>
      <c r="CH240" s="10"/>
      <c r="CI240" s="10"/>
      <c r="CJ240" s="10"/>
      <c r="CK240" s="10"/>
      <c r="CL240" s="10"/>
      <c r="CM240" s="10"/>
      <c r="CN240" s="10"/>
      <c r="CO240" s="10"/>
      <c r="CP240" s="10"/>
      <c r="CQ240" s="10"/>
      <c r="CR240" s="10"/>
      <c r="CS240" s="10"/>
      <c r="CT240" s="10"/>
      <c r="CU240" s="10"/>
      <c r="CV240" s="10"/>
      <c r="CW240" s="10"/>
      <c r="CX240" s="10"/>
      <c r="CY240" s="10"/>
      <c r="CZ240" s="10"/>
      <c r="DA240" s="10"/>
      <c r="DB240" s="10"/>
      <c r="DC240" s="10"/>
      <c r="DD240" s="10"/>
      <c r="DE240" s="10"/>
      <c r="DF240" s="10"/>
      <c r="DG240" s="10"/>
      <c r="DH240" s="10"/>
    </row>
    <row r="241" spans="1:112" ht="15.75" customHeight="1" x14ac:dyDescent="0.3">
      <c r="A241" s="13" t="s">
        <v>386</v>
      </c>
      <c r="B241" s="14">
        <v>45740</v>
      </c>
      <c r="C241" s="13" t="s">
        <v>387</v>
      </c>
      <c r="D241" s="13" t="s">
        <v>388</v>
      </c>
      <c r="E241" s="13" t="s">
        <v>45</v>
      </c>
      <c r="F241" s="13" t="s">
        <v>46</v>
      </c>
      <c r="G241" s="13" t="s">
        <v>47</v>
      </c>
      <c r="H241" s="13">
        <v>4</v>
      </c>
      <c r="I241" s="13">
        <v>149.99</v>
      </c>
      <c r="J241" s="13" t="s">
        <v>35</v>
      </c>
      <c r="K241" s="13" t="s">
        <v>51</v>
      </c>
      <c r="L241" s="13" t="s">
        <v>37</v>
      </c>
      <c r="M241" s="14">
        <v>44560</v>
      </c>
      <c r="N241" s="13">
        <v>599.96</v>
      </c>
      <c r="O241" s="10"/>
      <c r="P241" s="13"/>
      <c r="Q241" s="10"/>
      <c r="R241" s="17">
        <f t="shared" ca="1" si="11"/>
        <v>1612</v>
      </c>
      <c r="S241" s="43">
        <f t="shared" si="9"/>
        <v>45747</v>
      </c>
      <c r="T241" s="44" t="str">
        <f t="shared" si="10"/>
        <v>Wes</v>
      </c>
      <c r="U241" s="13"/>
      <c r="V241" s="10"/>
      <c r="W241" s="10"/>
      <c r="X241" s="10"/>
      <c r="Y241" s="10"/>
      <c r="Z241" s="10"/>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0"/>
      <c r="BC241" s="10"/>
      <c r="BD241" s="10"/>
      <c r="BE241" s="10"/>
      <c r="BF241" s="10"/>
      <c r="BG241" s="10"/>
      <c r="BH241" s="10"/>
      <c r="BI241" s="10"/>
      <c r="BJ241" s="10"/>
      <c r="BK241" s="10"/>
      <c r="BL241" s="10"/>
      <c r="BM241" s="10"/>
      <c r="BN241" s="10"/>
      <c r="BO241" s="10"/>
      <c r="BP241" s="10"/>
      <c r="BQ241" s="10"/>
      <c r="BR241" s="10"/>
      <c r="BS241" s="10"/>
      <c r="BT241" s="10"/>
      <c r="BU241" s="10"/>
      <c r="BV241" s="10"/>
      <c r="BW241" s="10"/>
      <c r="BX241" s="10"/>
      <c r="BY241" s="10"/>
      <c r="BZ241" s="10"/>
      <c r="CA241" s="10"/>
      <c r="CB241" s="10"/>
      <c r="CC241" s="10"/>
      <c r="CD241" s="10"/>
      <c r="CE241" s="10"/>
      <c r="CF241" s="10"/>
      <c r="CG241" s="10"/>
      <c r="CH241" s="10"/>
      <c r="CI241" s="10"/>
      <c r="CJ241" s="10"/>
      <c r="CK241" s="10"/>
      <c r="CL241" s="10"/>
      <c r="CM241" s="10"/>
      <c r="CN241" s="10"/>
      <c r="CO241" s="10"/>
      <c r="CP241" s="10"/>
      <c r="CQ241" s="10"/>
      <c r="CR241" s="10"/>
      <c r="CS241" s="10"/>
      <c r="CT241" s="10"/>
      <c r="CU241" s="10"/>
      <c r="CV241" s="10"/>
      <c r="CW241" s="10"/>
      <c r="CX241" s="10"/>
      <c r="CY241" s="10"/>
      <c r="CZ241" s="10"/>
      <c r="DA241" s="10"/>
      <c r="DB241" s="10"/>
      <c r="DC241" s="10"/>
      <c r="DD241" s="10"/>
      <c r="DE241" s="10"/>
      <c r="DF241" s="10"/>
      <c r="DG241" s="10"/>
      <c r="DH241" s="10"/>
    </row>
    <row r="242" spans="1:112" ht="15.75" customHeight="1" x14ac:dyDescent="0.3">
      <c r="A242" s="13" t="s">
        <v>389</v>
      </c>
      <c r="B242" s="14">
        <v>45743</v>
      </c>
      <c r="C242" s="13" t="s">
        <v>103</v>
      </c>
      <c r="D242" s="13" t="s">
        <v>104</v>
      </c>
      <c r="E242" s="13" t="s">
        <v>115</v>
      </c>
      <c r="F242" s="13" t="s">
        <v>116</v>
      </c>
      <c r="G242" s="13" t="s">
        <v>34</v>
      </c>
      <c r="H242" s="13">
        <v>4</v>
      </c>
      <c r="I242" s="13">
        <v>79.989999999999995</v>
      </c>
      <c r="J242" s="13" t="s">
        <v>27</v>
      </c>
      <c r="K242" s="13" t="s">
        <v>22</v>
      </c>
      <c r="L242" s="13" t="s">
        <v>23</v>
      </c>
      <c r="M242" s="14">
        <v>45288</v>
      </c>
      <c r="N242" s="13">
        <v>319.95999999999998</v>
      </c>
      <c r="O242" s="10"/>
      <c r="P242" s="13"/>
      <c r="Q242" s="10"/>
      <c r="R242" s="17">
        <f t="shared" ca="1" si="11"/>
        <v>884</v>
      </c>
      <c r="S242" s="43">
        <f t="shared" si="9"/>
        <v>45747</v>
      </c>
      <c r="T242" s="44" t="str">
        <f t="shared" si="10"/>
        <v>Cen</v>
      </c>
      <c r="U242" s="13"/>
      <c r="V242" s="10"/>
      <c r="W242" s="10"/>
      <c r="X242" s="10"/>
      <c r="Y242" s="10"/>
      <c r="Z242" s="10"/>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0"/>
      <c r="BC242" s="10"/>
      <c r="BD242" s="10"/>
      <c r="BE242" s="10"/>
      <c r="BF242" s="10"/>
      <c r="BG242" s="10"/>
      <c r="BH242" s="10"/>
      <c r="BI242" s="10"/>
      <c r="BJ242" s="10"/>
      <c r="BK242" s="10"/>
      <c r="BL242" s="10"/>
      <c r="BM242" s="10"/>
      <c r="BN242" s="10"/>
      <c r="BO242" s="10"/>
      <c r="BP242" s="10"/>
      <c r="BQ242" s="10"/>
      <c r="BR242" s="10"/>
      <c r="BS242" s="10"/>
      <c r="BT242" s="10"/>
      <c r="BU242" s="10"/>
      <c r="BV242" s="10"/>
      <c r="BW242" s="10"/>
      <c r="BX242" s="10"/>
      <c r="BY242" s="10"/>
      <c r="BZ242" s="10"/>
      <c r="CA242" s="10"/>
      <c r="CB242" s="10"/>
      <c r="CC242" s="10"/>
      <c r="CD242" s="10"/>
      <c r="CE242" s="10"/>
      <c r="CF242" s="10"/>
      <c r="CG242" s="10"/>
      <c r="CH242" s="10"/>
      <c r="CI242" s="10"/>
      <c r="CJ242" s="10"/>
      <c r="CK242" s="10"/>
      <c r="CL242" s="10"/>
      <c r="CM242" s="10"/>
      <c r="CN242" s="10"/>
      <c r="CO242" s="10"/>
      <c r="CP242" s="10"/>
      <c r="CQ242" s="10"/>
      <c r="CR242" s="10"/>
      <c r="CS242" s="10"/>
      <c r="CT242" s="10"/>
      <c r="CU242" s="10"/>
      <c r="CV242" s="10"/>
      <c r="CW242" s="10"/>
      <c r="CX242" s="10"/>
      <c r="CY242" s="10"/>
      <c r="CZ242" s="10"/>
      <c r="DA242" s="10"/>
      <c r="DB242" s="10"/>
      <c r="DC242" s="10"/>
      <c r="DD242" s="10"/>
      <c r="DE242" s="10"/>
      <c r="DF242" s="10"/>
      <c r="DG242" s="10"/>
      <c r="DH242" s="10"/>
    </row>
    <row r="243" spans="1:112" ht="15.75" customHeight="1" x14ac:dyDescent="0.3">
      <c r="A243" s="13" t="s">
        <v>390</v>
      </c>
      <c r="B243" s="14">
        <v>45745</v>
      </c>
      <c r="C243" s="13" t="s">
        <v>186</v>
      </c>
      <c r="D243" s="13" t="s">
        <v>187</v>
      </c>
      <c r="E243" s="13" t="s">
        <v>118</v>
      </c>
      <c r="F243" s="13" t="s">
        <v>119</v>
      </c>
      <c r="G243" s="13" t="s">
        <v>20</v>
      </c>
      <c r="H243" s="13">
        <v>5</v>
      </c>
      <c r="I243" s="13">
        <v>89.99</v>
      </c>
      <c r="J243" s="13" t="s">
        <v>35</v>
      </c>
      <c r="K243" s="13" t="s">
        <v>36</v>
      </c>
      <c r="L243" s="13" t="s">
        <v>23</v>
      </c>
      <c r="M243" s="14">
        <v>44704</v>
      </c>
      <c r="N243" s="13">
        <v>449.95</v>
      </c>
      <c r="O243" s="10"/>
      <c r="P243" s="13"/>
      <c r="Q243" s="10"/>
      <c r="R243" s="17">
        <f t="shared" ca="1" si="11"/>
        <v>1468</v>
      </c>
      <c r="S243" s="43">
        <f t="shared" si="9"/>
        <v>45747</v>
      </c>
      <c r="T243" s="44" t="str">
        <f t="shared" si="10"/>
        <v>Sou</v>
      </c>
      <c r="U243" s="13"/>
      <c r="V243" s="10"/>
      <c r="W243" s="10"/>
      <c r="X243" s="10"/>
      <c r="Y243" s="10"/>
      <c r="Z243" s="10"/>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0"/>
      <c r="BC243" s="10"/>
      <c r="BD243" s="10"/>
      <c r="BE243" s="10"/>
      <c r="BF243" s="10"/>
      <c r="BG243" s="10"/>
      <c r="BH243" s="10"/>
      <c r="BI243" s="10"/>
      <c r="BJ243" s="10"/>
      <c r="BK243" s="10"/>
      <c r="BL243" s="10"/>
      <c r="BM243" s="10"/>
      <c r="BN243" s="10"/>
      <c r="BO243" s="10"/>
      <c r="BP243" s="10"/>
      <c r="BQ243" s="10"/>
      <c r="BR243" s="10"/>
      <c r="BS243" s="10"/>
      <c r="BT243" s="10"/>
      <c r="BU243" s="10"/>
      <c r="BV243" s="10"/>
      <c r="BW243" s="10"/>
      <c r="BX243" s="10"/>
      <c r="BY243" s="10"/>
      <c r="BZ243" s="10"/>
      <c r="CA243" s="10"/>
      <c r="CB243" s="10"/>
      <c r="CC243" s="10"/>
      <c r="CD243" s="10"/>
      <c r="CE243" s="10"/>
      <c r="CF243" s="10"/>
      <c r="CG243" s="10"/>
      <c r="CH243" s="10"/>
      <c r="CI243" s="10"/>
      <c r="CJ243" s="10"/>
      <c r="CK243" s="10"/>
      <c r="CL243" s="10"/>
      <c r="CM243" s="10"/>
      <c r="CN243" s="10"/>
      <c r="CO243" s="10"/>
      <c r="CP243" s="10"/>
      <c r="CQ243" s="10"/>
      <c r="CR243" s="10"/>
      <c r="CS243" s="10"/>
      <c r="CT243" s="10"/>
      <c r="CU243" s="10"/>
      <c r="CV243" s="10"/>
      <c r="CW243" s="10"/>
      <c r="CX243" s="10"/>
      <c r="CY243" s="10"/>
      <c r="CZ243" s="10"/>
      <c r="DA243" s="10"/>
      <c r="DB243" s="10"/>
      <c r="DC243" s="10"/>
      <c r="DD243" s="10"/>
      <c r="DE243" s="10"/>
      <c r="DF243" s="10"/>
      <c r="DG243" s="10"/>
      <c r="DH243" s="10"/>
    </row>
    <row r="244" spans="1:112" ht="15.75" customHeight="1" x14ac:dyDescent="0.3">
      <c r="A244" s="13" t="s">
        <v>391</v>
      </c>
      <c r="B244" s="14">
        <v>45746</v>
      </c>
      <c r="C244" s="13" t="s">
        <v>94</v>
      </c>
      <c r="D244" s="13" t="s">
        <v>95</v>
      </c>
      <c r="E244" s="13" t="s">
        <v>45</v>
      </c>
      <c r="F244" s="13" t="s">
        <v>46</v>
      </c>
      <c r="G244" s="13" t="s">
        <v>47</v>
      </c>
      <c r="H244" s="13">
        <v>3</v>
      </c>
      <c r="I244" s="13">
        <v>149.99</v>
      </c>
      <c r="J244" s="13" t="s">
        <v>35</v>
      </c>
      <c r="K244" s="13" t="s">
        <v>22</v>
      </c>
      <c r="L244" s="13" t="s">
        <v>37</v>
      </c>
      <c r="M244" s="14">
        <v>45171</v>
      </c>
      <c r="N244" s="13">
        <v>449.97</v>
      </c>
      <c r="O244" s="10"/>
      <c r="P244" s="13"/>
      <c r="Q244" s="10"/>
      <c r="R244" s="17">
        <f t="shared" ca="1" si="11"/>
        <v>1001</v>
      </c>
      <c r="S244" s="43">
        <f t="shared" si="9"/>
        <v>45747</v>
      </c>
      <c r="T244" s="44" t="str">
        <f t="shared" si="10"/>
        <v>Cen</v>
      </c>
      <c r="U244" s="13"/>
      <c r="V244" s="10"/>
      <c r="W244" s="10"/>
      <c r="X244" s="10"/>
      <c r="Y244" s="10"/>
      <c r="Z244" s="10"/>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0"/>
      <c r="BC244" s="10"/>
      <c r="BD244" s="10"/>
      <c r="BE244" s="10"/>
      <c r="BF244" s="10"/>
      <c r="BG244" s="10"/>
      <c r="BH244" s="10"/>
      <c r="BI244" s="10"/>
      <c r="BJ244" s="10"/>
      <c r="BK244" s="10"/>
      <c r="BL244" s="10"/>
      <c r="BM244" s="10"/>
      <c r="BN244" s="10"/>
      <c r="BO244" s="10"/>
      <c r="BP244" s="10"/>
      <c r="BQ244" s="10"/>
      <c r="BR244" s="10"/>
      <c r="BS244" s="10"/>
      <c r="BT244" s="10"/>
      <c r="BU244" s="10"/>
      <c r="BV244" s="10"/>
      <c r="BW244" s="10"/>
      <c r="BX244" s="10"/>
      <c r="BY244" s="10"/>
      <c r="BZ244" s="10"/>
      <c r="CA244" s="10"/>
      <c r="CB244" s="10"/>
      <c r="CC244" s="10"/>
      <c r="CD244" s="10"/>
      <c r="CE244" s="10"/>
      <c r="CF244" s="10"/>
      <c r="CG244" s="10"/>
      <c r="CH244" s="10"/>
      <c r="CI244" s="10"/>
      <c r="CJ244" s="10"/>
      <c r="CK244" s="10"/>
      <c r="CL244" s="10"/>
      <c r="CM244" s="10"/>
      <c r="CN244" s="10"/>
      <c r="CO244" s="10"/>
      <c r="CP244" s="10"/>
      <c r="CQ244" s="10"/>
      <c r="CR244" s="10"/>
      <c r="CS244" s="10"/>
      <c r="CT244" s="10"/>
      <c r="CU244" s="10"/>
      <c r="CV244" s="10"/>
      <c r="CW244" s="10"/>
      <c r="CX244" s="10"/>
      <c r="CY244" s="10"/>
      <c r="CZ244" s="10"/>
      <c r="DA244" s="10"/>
      <c r="DB244" s="10"/>
      <c r="DC244" s="10"/>
      <c r="DD244" s="10"/>
      <c r="DE244" s="10"/>
      <c r="DF244" s="10"/>
      <c r="DG244" s="10"/>
      <c r="DH244" s="10"/>
    </row>
    <row r="245" spans="1:112" ht="15.75" customHeight="1" x14ac:dyDescent="0.3">
      <c r="A245" s="13" t="s">
        <v>392</v>
      </c>
      <c r="B245" s="14">
        <v>45746</v>
      </c>
      <c r="C245" s="13" t="s">
        <v>66</v>
      </c>
      <c r="D245" s="13" t="s">
        <v>67</v>
      </c>
      <c r="E245" s="13" t="s">
        <v>118</v>
      </c>
      <c r="F245" s="13" t="s">
        <v>119</v>
      </c>
      <c r="G245" s="13" t="s">
        <v>20</v>
      </c>
      <c r="H245" s="13">
        <v>2</v>
      </c>
      <c r="I245" s="13">
        <v>89.99</v>
      </c>
      <c r="J245" s="13" t="s">
        <v>58</v>
      </c>
      <c r="K245" s="13" t="s">
        <v>51</v>
      </c>
      <c r="L245" s="13" t="s">
        <v>28</v>
      </c>
      <c r="M245" s="14">
        <v>44522</v>
      </c>
      <c r="N245" s="13">
        <v>179.98</v>
      </c>
      <c r="O245" s="10"/>
      <c r="P245" s="13"/>
      <c r="Q245" s="10"/>
      <c r="R245" s="17">
        <f t="shared" ca="1" si="11"/>
        <v>1650</v>
      </c>
      <c r="S245" s="43">
        <f t="shared" si="9"/>
        <v>45747</v>
      </c>
      <c r="T245" s="44" t="str">
        <f t="shared" si="10"/>
        <v>Wes</v>
      </c>
      <c r="U245" s="13"/>
      <c r="V245" s="10"/>
      <c r="W245" s="10"/>
      <c r="X245" s="10"/>
      <c r="Y245" s="10"/>
      <c r="Z245" s="10"/>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0"/>
      <c r="BC245" s="10"/>
      <c r="BD245" s="10"/>
      <c r="BE245" s="10"/>
      <c r="BF245" s="10"/>
      <c r="BG245" s="10"/>
      <c r="BH245" s="10"/>
      <c r="BI245" s="10"/>
      <c r="BJ245" s="10"/>
      <c r="BK245" s="10"/>
      <c r="BL245" s="10"/>
      <c r="BM245" s="10"/>
      <c r="BN245" s="10"/>
      <c r="BO245" s="10"/>
      <c r="BP245" s="10"/>
      <c r="BQ245" s="10"/>
      <c r="BR245" s="10"/>
      <c r="BS245" s="10"/>
      <c r="BT245" s="10"/>
      <c r="BU245" s="10"/>
      <c r="BV245" s="10"/>
      <c r="BW245" s="10"/>
      <c r="BX245" s="10"/>
      <c r="BY245" s="10"/>
      <c r="BZ245" s="10"/>
      <c r="CA245" s="10"/>
      <c r="CB245" s="10"/>
      <c r="CC245" s="10"/>
      <c r="CD245" s="10"/>
      <c r="CE245" s="10"/>
      <c r="CF245" s="10"/>
      <c r="CG245" s="10"/>
      <c r="CH245" s="10"/>
      <c r="CI245" s="10"/>
      <c r="CJ245" s="10"/>
      <c r="CK245" s="10"/>
      <c r="CL245" s="10"/>
      <c r="CM245" s="10"/>
      <c r="CN245" s="10"/>
      <c r="CO245" s="10"/>
      <c r="CP245" s="10"/>
      <c r="CQ245" s="10"/>
      <c r="CR245" s="10"/>
      <c r="CS245" s="10"/>
      <c r="CT245" s="10"/>
      <c r="CU245" s="10"/>
      <c r="CV245" s="10"/>
      <c r="CW245" s="10"/>
      <c r="CX245" s="10"/>
      <c r="CY245" s="10"/>
      <c r="CZ245" s="10"/>
      <c r="DA245" s="10"/>
      <c r="DB245" s="10"/>
      <c r="DC245" s="10"/>
      <c r="DD245" s="10"/>
      <c r="DE245" s="10"/>
      <c r="DF245" s="10"/>
      <c r="DG245" s="10"/>
      <c r="DH245" s="10"/>
    </row>
    <row r="246" spans="1:112" ht="15.75" customHeight="1" x14ac:dyDescent="0.3">
      <c r="A246" s="13" t="s">
        <v>393</v>
      </c>
      <c r="B246" s="14">
        <v>45748</v>
      </c>
      <c r="C246" s="13" t="s">
        <v>103</v>
      </c>
      <c r="D246" s="13" t="s">
        <v>104</v>
      </c>
      <c r="E246" s="13" t="s">
        <v>81</v>
      </c>
      <c r="F246" s="13" t="s">
        <v>82</v>
      </c>
      <c r="G246" s="13" t="s">
        <v>20</v>
      </c>
      <c r="H246" s="13">
        <v>2</v>
      </c>
      <c r="I246" s="13">
        <v>699.99</v>
      </c>
      <c r="J246" s="13" t="s">
        <v>35</v>
      </c>
      <c r="K246" s="13" t="s">
        <v>41</v>
      </c>
      <c r="L246" s="13" t="s">
        <v>37</v>
      </c>
      <c r="M246" s="14">
        <v>44618</v>
      </c>
      <c r="N246" s="13">
        <v>1399.98</v>
      </c>
      <c r="O246" s="10"/>
      <c r="P246" s="13"/>
      <c r="Q246" s="10"/>
      <c r="R246" s="17">
        <f t="shared" ca="1" si="11"/>
        <v>1554</v>
      </c>
      <c r="S246" s="43">
        <f t="shared" si="9"/>
        <v>45777</v>
      </c>
      <c r="T246" s="44" t="str">
        <f t="shared" si="10"/>
        <v>Nor</v>
      </c>
      <c r="U246" s="13"/>
      <c r="V246" s="10"/>
      <c r="W246" s="10"/>
      <c r="X246" s="10"/>
      <c r="Y246" s="10"/>
      <c r="Z246" s="10"/>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0"/>
      <c r="BC246" s="10"/>
      <c r="BD246" s="10"/>
      <c r="BE246" s="10"/>
      <c r="BF246" s="10"/>
      <c r="BG246" s="10"/>
      <c r="BH246" s="10"/>
      <c r="BI246" s="10"/>
      <c r="BJ246" s="10"/>
      <c r="BK246" s="10"/>
      <c r="BL246" s="10"/>
      <c r="BM246" s="10"/>
      <c r="BN246" s="10"/>
      <c r="BO246" s="10"/>
      <c r="BP246" s="10"/>
      <c r="BQ246" s="10"/>
      <c r="BR246" s="10"/>
      <c r="BS246" s="10"/>
      <c r="BT246" s="10"/>
      <c r="BU246" s="10"/>
      <c r="BV246" s="10"/>
      <c r="BW246" s="10"/>
      <c r="BX246" s="10"/>
      <c r="BY246" s="10"/>
      <c r="BZ246" s="10"/>
      <c r="CA246" s="10"/>
      <c r="CB246" s="10"/>
      <c r="CC246" s="10"/>
      <c r="CD246" s="10"/>
      <c r="CE246" s="10"/>
      <c r="CF246" s="10"/>
      <c r="CG246" s="10"/>
      <c r="CH246" s="10"/>
      <c r="CI246" s="10"/>
      <c r="CJ246" s="10"/>
      <c r="CK246" s="10"/>
      <c r="CL246" s="10"/>
      <c r="CM246" s="10"/>
      <c r="CN246" s="10"/>
      <c r="CO246" s="10"/>
      <c r="CP246" s="10"/>
      <c r="CQ246" s="10"/>
      <c r="CR246" s="10"/>
      <c r="CS246" s="10"/>
      <c r="CT246" s="10"/>
      <c r="CU246" s="10"/>
      <c r="CV246" s="10"/>
      <c r="CW246" s="10"/>
      <c r="CX246" s="10"/>
      <c r="CY246" s="10"/>
      <c r="CZ246" s="10"/>
      <c r="DA246" s="10"/>
      <c r="DB246" s="10"/>
      <c r="DC246" s="10"/>
      <c r="DD246" s="10"/>
      <c r="DE246" s="10"/>
      <c r="DF246" s="10"/>
      <c r="DG246" s="10"/>
      <c r="DH246" s="10"/>
    </row>
    <row r="247" spans="1:112" ht="15.75" customHeight="1" x14ac:dyDescent="0.3">
      <c r="A247" s="13" t="s">
        <v>394</v>
      </c>
      <c r="B247" s="14">
        <v>45749</v>
      </c>
      <c r="C247" s="13" t="s">
        <v>124</v>
      </c>
      <c r="D247" s="13" t="s">
        <v>125</v>
      </c>
      <c r="E247" s="13" t="s">
        <v>62</v>
      </c>
      <c r="F247" s="13" t="s">
        <v>63</v>
      </c>
      <c r="G247" s="13" t="s">
        <v>20</v>
      </c>
      <c r="H247" s="13">
        <v>3</v>
      </c>
      <c r="I247" s="13">
        <v>899.99</v>
      </c>
      <c r="J247" s="13" t="s">
        <v>21</v>
      </c>
      <c r="K247" s="13" t="s">
        <v>22</v>
      </c>
      <c r="L247" s="13" t="s">
        <v>37</v>
      </c>
      <c r="M247" s="14">
        <v>44953</v>
      </c>
      <c r="N247" s="13">
        <v>2699.97</v>
      </c>
      <c r="O247" s="10"/>
      <c r="P247" s="13"/>
      <c r="Q247" s="10"/>
      <c r="R247" s="17">
        <f t="shared" ca="1" si="11"/>
        <v>1219</v>
      </c>
      <c r="S247" s="43">
        <f t="shared" si="9"/>
        <v>45777</v>
      </c>
      <c r="T247" s="44" t="str">
        <f t="shared" si="10"/>
        <v>Cen</v>
      </c>
      <c r="U247" s="13"/>
      <c r="V247" s="10"/>
      <c r="W247" s="10"/>
      <c r="X247" s="10"/>
      <c r="Y247" s="10"/>
      <c r="Z247" s="10"/>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0"/>
      <c r="BC247" s="10"/>
      <c r="BD247" s="10"/>
      <c r="BE247" s="10"/>
      <c r="BF247" s="10"/>
      <c r="BG247" s="10"/>
      <c r="BH247" s="10"/>
      <c r="BI247" s="10"/>
      <c r="BJ247" s="10"/>
      <c r="BK247" s="10"/>
      <c r="BL247" s="10"/>
      <c r="BM247" s="10"/>
      <c r="BN247" s="10"/>
      <c r="BO247" s="10"/>
      <c r="BP247" s="10"/>
      <c r="BQ247" s="10"/>
      <c r="BR247" s="10"/>
      <c r="BS247" s="10"/>
      <c r="BT247" s="10"/>
      <c r="BU247" s="10"/>
      <c r="BV247" s="10"/>
      <c r="BW247" s="10"/>
      <c r="BX247" s="10"/>
      <c r="BY247" s="10"/>
      <c r="BZ247" s="10"/>
      <c r="CA247" s="10"/>
      <c r="CB247" s="10"/>
      <c r="CC247" s="10"/>
      <c r="CD247" s="10"/>
      <c r="CE247" s="10"/>
      <c r="CF247" s="10"/>
      <c r="CG247" s="10"/>
      <c r="CH247" s="10"/>
      <c r="CI247" s="10"/>
      <c r="CJ247" s="10"/>
      <c r="CK247" s="10"/>
      <c r="CL247" s="10"/>
      <c r="CM247" s="10"/>
      <c r="CN247" s="10"/>
      <c r="CO247" s="10"/>
      <c r="CP247" s="10"/>
      <c r="CQ247" s="10"/>
      <c r="CR247" s="10"/>
      <c r="CS247" s="10"/>
      <c r="CT247" s="10"/>
      <c r="CU247" s="10"/>
      <c r="CV247" s="10"/>
      <c r="CW247" s="10"/>
      <c r="CX247" s="10"/>
      <c r="CY247" s="10"/>
      <c r="CZ247" s="10"/>
      <c r="DA247" s="10"/>
      <c r="DB247" s="10"/>
      <c r="DC247" s="10"/>
      <c r="DD247" s="10"/>
      <c r="DE247" s="10"/>
      <c r="DF247" s="10"/>
      <c r="DG247" s="10"/>
      <c r="DH247" s="10"/>
    </row>
    <row r="248" spans="1:112" ht="15.75" customHeight="1" x14ac:dyDescent="0.3">
      <c r="A248" s="13" t="s">
        <v>395</v>
      </c>
      <c r="B248" s="14">
        <v>45755</v>
      </c>
      <c r="C248" s="13" t="s">
        <v>94</v>
      </c>
      <c r="D248" s="13" t="s">
        <v>95</v>
      </c>
      <c r="E248" s="13" t="s">
        <v>115</v>
      </c>
      <c r="F248" s="13" t="s">
        <v>116</v>
      </c>
      <c r="G248" s="13" t="s">
        <v>34</v>
      </c>
      <c r="H248" s="13">
        <v>3</v>
      </c>
      <c r="I248" s="13">
        <v>79.989999999999995</v>
      </c>
      <c r="J248" s="13" t="s">
        <v>27</v>
      </c>
      <c r="K248" s="13" t="s">
        <v>41</v>
      </c>
      <c r="L248" s="13" t="s">
        <v>23</v>
      </c>
      <c r="M248" s="14">
        <v>44511</v>
      </c>
      <c r="N248" s="13">
        <v>239.97</v>
      </c>
      <c r="O248" s="10"/>
      <c r="P248" s="13"/>
      <c r="Q248" s="10"/>
      <c r="R248" s="17">
        <f t="shared" ca="1" si="11"/>
        <v>1661</v>
      </c>
      <c r="S248" s="43">
        <f t="shared" si="9"/>
        <v>45777</v>
      </c>
      <c r="T248" s="44" t="str">
        <f t="shared" si="10"/>
        <v>Nor</v>
      </c>
      <c r="U248" s="13"/>
      <c r="V248" s="10"/>
      <c r="W248" s="10"/>
      <c r="X248" s="10"/>
      <c r="Y248" s="10"/>
      <c r="Z248" s="10"/>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0"/>
      <c r="BC248" s="10"/>
      <c r="BD248" s="10"/>
      <c r="BE248" s="10"/>
      <c r="BF248" s="10"/>
      <c r="BG248" s="10"/>
      <c r="BH248" s="10"/>
      <c r="BI248" s="10"/>
      <c r="BJ248" s="10"/>
      <c r="BK248" s="10"/>
      <c r="BL248" s="10"/>
      <c r="BM248" s="10"/>
      <c r="BN248" s="10"/>
      <c r="BO248" s="10"/>
      <c r="BP248" s="10"/>
      <c r="BQ248" s="10"/>
      <c r="BR248" s="10"/>
      <c r="BS248" s="10"/>
      <c r="BT248" s="10"/>
      <c r="BU248" s="10"/>
      <c r="BV248" s="10"/>
      <c r="BW248" s="10"/>
      <c r="BX248" s="10"/>
      <c r="BY248" s="10"/>
      <c r="BZ248" s="10"/>
      <c r="CA248" s="10"/>
      <c r="CB248" s="10"/>
      <c r="CC248" s="10"/>
      <c r="CD248" s="10"/>
      <c r="CE248" s="10"/>
      <c r="CF248" s="10"/>
      <c r="CG248" s="10"/>
      <c r="CH248" s="10"/>
      <c r="CI248" s="10"/>
      <c r="CJ248" s="10"/>
      <c r="CK248" s="10"/>
      <c r="CL248" s="10"/>
      <c r="CM248" s="10"/>
      <c r="CN248" s="10"/>
      <c r="CO248" s="10"/>
      <c r="CP248" s="10"/>
      <c r="CQ248" s="10"/>
      <c r="CR248" s="10"/>
      <c r="CS248" s="10"/>
      <c r="CT248" s="10"/>
      <c r="CU248" s="10"/>
      <c r="CV248" s="10"/>
      <c r="CW248" s="10"/>
      <c r="CX248" s="10"/>
      <c r="CY248" s="10"/>
      <c r="CZ248" s="10"/>
      <c r="DA248" s="10"/>
      <c r="DB248" s="10"/>
      <c r="DC248" s="10"/>
      <c r="DD248" s="10"/>
      <c r="DE248" s="10"/>
      <c r="DF248" s="10"/>
      <c r="DG248" s="10"/>
      <c r="DH248" s="10"/>
    </row>
    <row r="249" spans="1:112" ht="15.75" customHeight="1" x14ac:dyDescent="0.3">
      <c r="A249" s="13" t="s">
        <v>396</v>
      </c>
      <c r="B249" s="14">
        <v>45756</v>
      </c>
      <c r="C249" s="13" t="s">
        <v>60</v>
      </c>
      <c r="D249" s="13" t="s">
        <v>61</v>
      </c>
      <c r="E249" s="13" t="s">
        <v>118</v>
      </c>
      <c r="F249" s="13" t="s">
        <v>119</v>
      </c>
      <c r="G249" s="13" t="s">
        <v>20</v>
      </c>
      <c r="H249" s="13">
        <v>1</v>
      </c>
      <c r="I249" s="13">
        <v>89.99</v>
      </c>
      <c r="J249" s="13" t="s">
        <v>58</v>
      </c>
      <c r="K249" s="13" t="s">
        <v>64</v>
      </c>
      <c r="L249" s="13" t="s">
        <v>23</v>
      </c>
      <c r="M249" s="14">
        <v>45346</v>
      </c>
      <c r="N249" s="13">
        <v>89.99</v>
      </c>
      <c r="O249" s="10"/>
      <c r="P249" s="13"/>
      <c r="Q249" s="10"/>
      <c r="R249" s="17">
        <f t="shared" ca="1" si="11"/>
        <v>826</v>
      </c>
      <c r="S249" s="43">
        <f t="shared" si="9"/>
        <v>45777</v>
      </c>
      <c r="T249" s="44" t="str">
        <f t="shared" si="10"/>
        <v>Eas</v>
      </c>
      <c r="U249" s="13"/>
      <c r="V249" s="10"/>
      <c r="W249" s="10"/>
      <c r="X249" s="10"/>
      <c r="Y249" s="10"/>
      <c r="Z249" s="10"/>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0"/>
      <c r="BC249" s="10"/>
      <c r="BD249" s="10"/>
      <c r="BE249" s="10"/>
      <c r="BF249" s="10"/>
      <c r="BG249" s="10"/>
      <c r="BH249" s="10"/>
      <c r="BI249" s="10"/>
      <c r="BJ249" s="10"/>
      <c r="BK249" s="10"/>
      <c r="BL249" s="10"/>
      <c r="BM249" s="10"/>
      <c r="BN249" s="10"/>
      <c r="BO249" s="10"/>
      <c r="BP249" s="10"/>
      <c r="BQ249" s="10"/>
      <c r="BR249" s="10"/>
      <c r="BS249" s="10"/>
      <c r="BT249" s="10"/>
      <c r="BU249" s="10"/>
      <c r="BV249" s="10"/>
      <c r="BW249" s="10"/>
      <c r="BX249" s="10"/>
      <c r="BY249" s="10"/>
      <c r="BZ249" s="10"/>
      <c r="CA249" s="10"/>
      <c r="CB249" s="10"/>
      <c r="CC249" s="10"/>
      <c r="CD249" s="10"/>
      <c r="CE249" s="10"/>
      <c r="CF249" s="10"/>
      <c r="CG249" s="10"/>
      <c r="CH249" s="10"/>
      <c r="CI249" s="10"/>
      <c r="CJ249" s="10"/>
      <c r="CK249" s="10"/>
      <c r="CL249" s="10"/>
      <c r="CM249" s="10"/>
      <c r="CN249" s="10"/>
      <c r="CO249" s="10"/>
      <c r="CP249" s="10"/>
      <c r="CQ249" s="10"/>
      <c r="CR249" s="10"/>
      <c r="CS249" s="10"/>
      <c r="CT249" s="10"/>
      <c r="CU249" s="10"/>
      <c r="CV249" s="10"/>
      <c r="CW249" s="10"/>
      <c r="CX249" s="10"/>
      <c r="CY249" s="10"/>
      <c r="CZ249" s="10"/>
      <c r="DA249" s="10"/>
      <c r="DB249" s="10"/>
      <c r="DC249" s="10"/>
      <c r="DD249" s="10"/>
      <c r="DE249" s="10"/>
      <c r="DF249" s="10"/>
      <c r="DG249" s="10"/>
      <c r="DH249" s="10"/>
    </row>
    <row r="250" spans="1:112" ht="15.75" customHeight="1" x14ac:dyDescent="0.3">
      <c r="A250" s="13" t="s">
        <v>397</v>
      </c>
      <c r="B250" s="14">
        <v>45758</v>
      </c>
      <c r="C250" s="13" t="s">
        <v>294</v>
      </c>
      <c r="D250" s="13" t="s">
        <v>295</v>
      </c>
      <c r="E250" s="13" t="s">
        <v>81</v>
      </c>
      <c r="F250" s="13" t="s">
        <v>82</v>
      </c>
      <c r="G250" s="13" t="s">
        <v>20</v>
      </c>
      <c r="H250" s="13">
        <v>3</v>
      </c>
      <c r="I250" s="13">
        <v>699.99</v>
      </c>
      <c r="J250" s="13" t="s">
        <v>35</v>
      </c>
      <c r="K250" s="13" t="s">
        <v>41</v>
      </c>
      <c r="L250" s="13" t="s">
        <v>23</v>
      </c>
      <c r="M250" s="14">
        <v>44909</v>
      </c>
      <c r="N250" s="13">
        <v>2099.9699999999998</v>
      </c>
      <c r="O250" s="10"/>
      <c r="P250" s="13"/>
      <c r="Q250" s="10"/>
      <c r="R250" s="17">
        <f t="shared" ca="1" si="11"/>
        <v>1263</v>
      </c>
      <c r="S250" s="43">
        <f t="shared" si="9"/>
        <v>45777</v>
      </c>
      <c r="T250" s="44" t="str">
        <f t="shared" si="10"/>
        <v>Nor</v>
      </c>
      <c r="U250" s="13"/>
      <c r="V250" s="10"/>
      <c r="W250" s="10"/>
      <c r="X250" s="10"/>
      <c r="Y250" s="10"/>
      <c r="Z250" s="10"/>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0"/>
      <c r="BC250" s="10"/>
      <c r="BD250" s="10"/>
      <c r="BE250" s="10"/>
      <c r="BF250" s="10"/>
      <c r="BG250" s="10"/>
      <c r="BH250" s="10"/>
      <c r="BI250" s="10"/>
      <c r="BJ250" s="10"/>
      <c r="BK250" s="10"/>
      <c r="BL250" s="10"/>
      <c r="BM250" s="10"/>
      <c r="BN250" s="10"/>
      <c r="BO250" s="10"/>
      <c r="BP250" s="10"/>
      <c r="BQ250" s="10"/>
      <c r="BR250" s="10"/>
      <c r="BS250" s="10"/>
      <c r="BT250" s="10"/>
      <c r="BU250" s="10"/>
      <c r="BV250" s="10"/>
      <c r="BW250" s="10"/>
      <c r="BX250" s="10"/>
      <c r="BY250" s="10"/>
      <c r="BZ250" s="10"/>
      <c r="CA250" s="10"/>
      <c r="CB250" s="10"/>
      <c r="CC250" s="10"/>
      <c r="CD250" s="10"/>
      <c r="CE250" s="10"/>
      <c r="CF250" s="10"/>
      <c r="CG250" s="10"/>
      <c r="CH250" s="10"/>
      <c r="CI250" s="10"/>
      <c r="CJ250" s="10"/>
      <c r="CK250" s="10"/>
      <c r="CL250" s="10"/>
      <c r="CM250" s="10"/>
      <c r="CN250" s="10"/>
      <c r="CO250" s="10"/>
      <c r="CP250" s="10"/>
      <c r="CQ250" s="10"/>
      <c r="CR250" s="10"/>
      <c r="CS250" s="10"/>
      <c r="CT250" s="10"/>
      <c r="CU250" s="10"/>
      <c r="CV250" s="10"/>
      <c r="CW250" s="10"/>
      <c r="CX250" s="10"/>
      <c r="CY250" s="10"/>
      <c r="CZ250" s="10"/>
      <c r="DA250" s="10"/>
      <c r="DB250" s="10"/>
      <c r="DC250" s="10"/>
      <c r="DD250" s="10"/>
      <c r="DE250" s="10"/>
      <c r="DF250" s="10"/>
      <c r="DG250" s="10"/>
      <c r="DH250" s="10"/>
    </row>
    <row r="251" spans="1:112" ht="15.75" customHeight="1" x14ac:dyDescent="0.3">
      <c r="A251" s="13" t="s">
        <v>398</v>
      </c>
      <c r="B251" s="14">
        <v>45758</v>
      </c>
      <c r="C251" s="13" t="s">
        <v>227</v>
      </c>
      <c r="D251" s="13" t="s">
        <v>228</v>
      </c>
      <c r="E251" s="13" t="s">
        <v>118</v>
      </c>
      <c r="F251" s="13" t="s">
        <v>119</v>
      </c>
      <c r="G251" s="13" t="s">
        <v>20</v>
      </c>
      <c r="H251" s="13">
        <v>2</v>
      </c>
      <c r="I251" s="13">
        <v>89.99</v>
      </c>
      <c r="J251" s="13" t="s">
        <v>58</v>
      </c>
      <c r="K251" s="13" t="s">
        <v>64</v>
      </c>
      <c r="L251" s="13" t="s">
        <v>23</v>
      </c>
      <c r="M251" s="14">
        <v>45088</v>
      </c>
      <c r="N251" s="13">
        <v>179.98</v>
      </c>
      <c r="O251" s="10"/>
      <c r="P251" s="13"/>
      <c r="Q251" s="10"/>
      <c r="R251" s="17">
        <f t="shared" ca="1" si="11"/>
        <v>1084</v>
      </c>
      <c r="S251" s="43">
        <f t="shared" si="9"/>
        <v>45777</v>
      </c>
      <c r="T251" s="44" t="str">
        <f t="shared" si="10"/>
        <v>Eas</v>
      </c>
      <c r="U251" s="13"/>
      <c r="V251" s="10"/>
      <c r="W251" s="10"/>
      <c r="X251" s="10"/>
      <c r="Y251" s="10"/>
      <c r="Z251" s="10"/>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0"/>
      <c r="BC251" s="10"/>
      <c r="BD251" s="10"/>
      <c r="BE251" s="10"/>
      <c r="BF251" s="10"/>
      <c r="BG251" s="10"/>
      <c r="BH251" s="10"/>
      <c r="BI251" s="10"/>
      <c r="BJ251" s="10"/>
      <c r="BK251" s="10"/>
      <c r="BL251" s="10"/>
      <c r="BM251" s="10"/>
      <c r="BN251" s="10"/>
      <c r="BO251" s="10"/>
      <c r="BP251" s="10"/>
      <c r="BQ251" s="10"/>
      <c r="BR251" s="10"/>
      <c r="BS251" s="10"/>
      <c r="BT251" s="10"/>
      <c r="BU251" s="10"/>
      <c r="BV251" s="10"/>
      <c r="BW251" s="10"/>
      <c r="BX251" s="10"/>
      <c r="BY251" s="10"/>
      <c r="BZ251" s="10"/>
      <c r="CA251" s="10"/>
      <c r="CB251" s="10"/>
      <c r="CC251" s="10"/>
      <c r="CD251" s="10"/>
      <c r="CE251" s="10"/>
      <c r="CF251" s="10"/>
      <c r="CG251" s="10"/>
      <c r="CH251" s="10"/>
      <c r="CI251" s="10"/>
      <c r="CJ251" s="10"/>
      <c r="CK251" s="10"/>
      <c r="CL251" s="10"/>
      <c r="CM251" s="10"/>
      <c r="CN251" s="10"/>
      <c r="CO251" s="10"/>
      <c r="CP251" s="10"/>
      <c r="CQ251" s="10"/>
      <c r="CR251" s="10"/>
      <c r="CS251" s="10"/>
      <c r="CT251" s="10"/>
      <c r="CU251" s="10"/>
      <c r="CV251" s="10"/>
      <c r="CW251" s="10"/>
      <c r="CX251" s="10"/>
      <c r="CY251" s="10"/>
      <c r="CZ251" s="10"/>
      <c r="DA251" s="10"/>
      <c r="DB251" s="10"/>
      <c r="DC251" s="10"/>
      <c r="DD251" s="10"/>
      <c r="DE251" s="10"/>
      <c r="DF251" s="10"/>
      <c r="DG251" s="10"/>
      <c r="DH251" s="10"/>
    </row>
    <row r="252" spans="1:112" ht="15.75" customHeight="1" x14ac:dyDescent="0.3">
      <c r="A252" s="13" t="s">
        <v>399</v>
      </c>
      <c r="B252" s="14">
        <v>45758</v>
      </c>
      <c r="C252" s="13" t="s">
        <v>139</v>
      </c>
      <c r="D252" s="13" t="s">
        <v>140</v>
      </c>
      <c r="E252" s="13" t="s">
        <v>118</v>
      </c>
      <c r="F252" s="13" t="s">
        <v>119</v>
      </c>
      <c r="G252" s="13" t="s">
        <v>20</v>
      </c>
      <c r="H252" s="13">
        <v>3</v>
      </c>
      <c r="I252" s="13">
        <v>89.99</v>
      </c>
      <c r="J252" s="13" t="s">
        <v>58</v>
      </c>
      <c r="K252" s="13" t="s">
        <v>41</v>
      </c>
      <c r="L252" s="13" t="s">
        <v>28</v>
      </c>
      <c r="M252" s="14">
        <v>44878</v>
      </c>
      <c r="N252" s="13">
        <v>269.97000000000003</v>
      </c>
      <c r="O252" s="10"/>
      <c r="P252" s="13"/>
      <c r="Q252" s="10"/>
      <c r="R252" s="17">
        <f t="shared" ca="1" si="11"/>
        <v>1294</v>
      </c>
      <c r="S252" s="43">
        <f t="shared" si="9"/>
        <v>45777</v>
      </c>
      <c r="T252" s="44" t="str">
        <f t="shared" si="10"/>
        <v>Nor</v>
      </c>
      <c r="U252" s="13"/>
      <c r="V252" s="10"/>
      <c r="W252" s="10"/>
      <c r="X252" s="10"/>
      <c r="Y252" s="10"/>
      <c r="Z252" s="10"/>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0"/>
      <c r="BC252" s="10"/>
      <c r="BD252" s="10"/>
      <c r="BE252" s="10"/>
      <c r="BF252" s="10"/>
      <c r="BG252" s="10"/>
      <c r="BH252" s="10"/>
      <c r="BI252" s="10"/>
      <c r="BJ252" s="10"/>
      <c r="BK252" s="10"/>
      <c r="BL252" s="10"/>
      <c r="BM252" s="10"/>
      <c r="BN252" s="10"/>
      <c r="BO252" s="10"/>
      <c r="BP252" s="10"/>
      <c r="BQ252" s="10"/>
      <c r="BR252" s="10"/>
      <c r="BS252" s="10"/>
      <c r="BT252" s="10"/>
      <c r="BU252" s="10"/>
      <c r="BV252" s="10"/>
      <c r="BW252" s="10"/>
      <c r="BX252" s="10"/>
      <c r="BY252" s="10"/>
      <c r="BZ252" s="10"/>
      <c r="CA252" s="10"/>
      <c r="CB252" s="10"/>
      <c r="CC252" s="10"/>
      <c r="CD252" s="10"/>
      <c r="CE252" s="10"/>
      <c r="CF252" s="10"/>
      <c r="CG252" s="10"/>
      <c r="CH252" s="10"/>
      <c r="CI252" s="10"/>
      <c r="CJ252" s="10"/>
      <c r="CK252" s="10"/>
      <c r="CL252" s="10"/>
      <c r="CM252" s="10"/>
      <c r="CN252" s="10"/>
      <c r="CO252" s="10"/>
      <c r="CP252" s="10"/>
      <c r="CQ252" s="10"/>
      <c r="CR252" s="10"/>
      <c r="CS252" s="10"/>
      <c r="CT252" s="10"/>
      <c r="CU252" s="10"/>
      <c r="CV252" s="10"/>
      <c r="CW252" s="10"/>
      <c r="CX252" s="10"/>
      <c r="CY252" s="10"/>
      <c r="CZ252" s="10"/>
      <c r="DA252" s="10"/>
      <c r="DB252" s="10"/>
      <c r="DC252" s="10"/>
      <c r="DD252" s="10"/>
      <c r="DE252" s="10"/>
      <c r="DF252" s="10"/>
      <c r="DG252" s="10"/>
      <c r="DH252" s="10"/>
    </row>
    <row r="253" spans="1:112" ht="15.75" customHeight="1" x14ac:dyDescent="0.3">
      <c r="A253" s="10"/>
      <c r="B253" s="10"/>
      <c r="C253" s="10"/>
      <c r="D253" s="10"/>
      <c r="E253" s="10"/>
      <c r="F253" s="10"/>
      <c r="G253" s="10"/>
      <c r="H253" s="10"/>
      <c r="I253" s="10"/>
      <c r="J253" s="10"/>
      <c r="K253" s="10"/>
      <c r="L253" s="10"/>
      <c r="M253" s="10"/>
      <c r="N253" s="10"/>
      <c r="O253" s="10"/>
      <c r="P253" s="13"/>
      <c r="Q253" s="10"/>
      <c r="R253" s="10"/>
      <c r="S253" s="10"/>
      <c r="T253" s="10"/>
      <c r="U253" s="13"/>
      <c r="V253" s="10"/>
      <c r="W253" s="10"/>
      <c r="X253" s="10"/>
      <c r="Y253" s="10"/>
      <c r="Z253" s="10"/>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0"/>
      <c r="BC253" s="10"/>
      <c r="BD253" s="10"/>
      <c r="BE253" s="10"/>
      <c r="BF253" s="10"/>
      <c r="BG253" s="10"/>
      <c r="BH253" s="10"/>
      <c r="BI253" s="10"/>
      <c r="BJ253" s="10"/>
      <c r="BK253" s="10"/>
      <c r="BL253" s="10"/>
      <c r="BM253" s="10"/>
      <c r="BN253" s="10"/>
      <c r="BO253" s="10"/>
      <c r="BP253" s="10"/>
      <c r="BQ253" s="10"/>
      <c r="BR253" s="10"/>
      <c r="BS253" s="10"/>
      <c r="BT253" s="10"/>
      <c r="BU253" s="10"/>
      <c r="BV253" s="10"/>
      <c r="BW253" s="10"/>
      <c r="BX253" s="10"/>
      <c r="BY253" s="10"/>
      <c r="BZ253" s="10"/>
      <c r="CA253" s="10"/>
      <c r="CB253" s="10"/>
      <c r="CC253" s="10"/>
      <c r="CD253" s="10"/>
      <c r="CE253" s="10"/>
      <c r="CF253" s="10"/>
      <c r="CG253" s="10"/>
      <c r="CH253" s="10"/>
      <c r="CI253" s="10"/>
      <c r="CJ253" s="10"/>
      <c r="CK253" s="10"/>
      <c r="CL253" s="10"/>
      <c r="CM253" s="10"/>
      <c r="CN253" s="10"/>
      <c r="CO253" s="10"/>
      <c r="CP253" s="10"/>
      <c r="CQ253" s="10"/>
      <c r="CR253" s="10"/>
      <c r="CS253" s="10"/>
      <c r="CT253" s="10"/>
      <c r="CU253" s="10"/>
      <c r="CV253" s="10"/>
      <c r="CW253" s="10"/>
      <c r="CX253" s="10"/>
      <c r="CY253" s="10"/>
      <c r="CZ253" s="10"/>
      <c r="DA253" s="10"/>
      <c r="DB253" s="10"/>
      <c r="DC253" s="10"/>
      <c r="DD253" s="10"/>
      <c r="DE253" s="10"/>
      <c r="DF253" s="10"/>
      <c r="DG253" s="10"/>
      <c r="DH253" s="10"/>
    </row>
    <row r="254" spans="1:112" ht="15.75" customHeight="1" x14ac:dyDescent="0.3">
      <c r="A254" s="10"/>
      <c r="B254" s="10"/>
      <c r="C254" s="10"/>
      <c r="D254" s="10"/>
      <c r="E254" s="10"/>
      <c r="F254" s="10"/>
      <c r="G254" s="10"/>
      <c r="H254" s="10"/>
      <c r="I254" s="10"/>
      <c r="J254" s="10"/>
      <c r="K254" s="10"/>
      <c r="L254" s="10"/>
      <c r="M254" s="10"/>
      <c r="N254" s="10"/>
      <c r="O254" s="10"/>
      <c r="P254" s="13"/>
      <c r="Q254" s="10"/>
      <c r="R254" s="10"/>
      <c r="S254" s="10"/>
      <c r="T254" s="10"/>
      <c r="U254" s="10"/>
      <c r="V254" s="10"/>
      <c r="W254" s="10"/>
      <c r="X254" s="10"/>
      <c r="Y254" s="10"/>
      <c r="Z254" s="10"/>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0"/>
      <c r="BC254" s="10"/>
      <c r="BD254" s="10"/>
      <c r="BE254" s="10"/>
      <c r="BF254" s="10"/>
      <c r="BG254" s="10"/>
      <c r="BH254" s="10"/>
      <c r="BI254" s="10"/>
      <c r="BJ254" s="10"/>
      <c r="BK254" s="10"/>
      <c r="BL254" s="10"/>
      <c r="BM254" s="10"/>
      <c r="BN254" s="10"/>
      <c r="BO254" s="10"/>
      <c r="BP254" s="10"/>
      <c r="BQ254" s="10"/>
      <c r="BR254" s="10"/>
      <c r="BS254" s="10"/>
      <c r="BT254" s="10"/>
      <c r="BU254" s="10"/>
      <c r="BV254" s="10"/>
      <c r="BW254" s="10"/>
      <c r="BX254" s="10"/>
      <c r="BY254" s="10"/>
      <c r="BZ254" s="10"/>
      <c r="CA254" s="10"/>
      <c r="CB254" s="10"/>
      <c r="CC254" s="10"/>
      <c r="CD254" s="10"/>
      <c r="CE254" s="10"/>
      <c r="CF254" s="10"/>
      <c r="CG254" s="10"/>
      <c r="CH254" s="10"/>
      <c r="CI254" s="10"/>
      <c r="CJ254" s="10"/>
      <c r="CK254" s="10"/>
      <c r="CL254" s="10"/>
      <c r="CM254" s="10"/>
      <c r="CN254" s="10"/>
      <c r="CO254" s="10"/>
      <c r="CP254" s="10"/>
      <c r="CQ254" s="10"/>
      <c r="CR254" s="10"/>
      <c r="CS254" s="10"/>
      <c r="CT254" s="10"/>
      <c r="CU254" s="10"/>
      <c r="CV254" s="10"/>
      <c r="CW254" s="10"/>
      <c r="CX254" s="10"/>
      <c r="CY254" s="10"/>
      <c r="CZ254" s="10"/>
      <c r="DA254" s="10"/>
      <c r="DB254" s="10"/>
      <c r="DC254" s="10"/>
      <c r="DD254" s="10"/>
      <c r="DE254" s="10"/>
      <c r="DF254" s="10"/>
      <c r="DG254" s="10"/>
      <c r="DH254" s="10"/>
    </row>
    <row r="255" spans="1:112" ht="15.75" customHeight="1" x14ac:dyDescent="0.3">
      <c r="A255" s="10"/>
      <c r="B255" s="10"/>
      <c r="C255" s="10"/>
      <c r="D255" s="10"/>
      <c r="E255" s="10"/>
      <c r="F255" s="10"/>
      <c r="G255" s="10"/>
      <c r="H255" s="10"/>
      <c r="I255" s="10"/>
      <c r="J255" s="10"/>
      <c r="K255" s="10"/>
      <c r="L255" s="10"/>
      <c r="M255" s="10"/>
      <c r="N255" s="10"/>
      <c r="O255" s="10"/>
      <c r="P255" s="13"/>
      <c r="Q255" s="10"/>
      <c r="R255" s="10"/>
      <c r="S255" s="10"/>
      <c r="T255" s="10"/>
      <c r="U255" s="10"/>
      <c r="V255" s="10"/>
      <c r="W255" s="10"/>
      <c r="X255" s="10"/>
      <c r="Y255" s="10"/>
      <c r="Z255" s="10"/>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0"/>
      <c r="BC255" s="10"/>
      <c r="BD255" s="10"/>
      <c r="BE255" s="10"/>
      <c r="BF255" s="10"/>
      <c r="BG255" s="10"/>
      <c r="BH255" s="10"/>
      <c r="BI255" s="10"/>
      <c r="BJ255" s="10"/>
      <c r="BK255" s="10"/>
      <c r="BL255" s="10"/>
      <c r="BM255" s="10"/>
      <c r="BN255" s="10"/>
      <c r="BO255" s="10"/>
      <c r="BP255" s="10"/>
      <c r="BQ255" s="10"/>
      <c r="BR255" s="10"/>
      <c r="BS255" s="10"/>
      <c r="BT255" s="10"/>
      <c r="BU255" s="10"/>
      <c r="BV255" s="10"/>
      <c r="BW255" s="10"/>
      <c r="BX255" s="10"/>
      <c r="BY255" s="10"/>
      <c r="BZ255" s="10"/>
      <c r="CA255" s="10"/>
      <c r="CB255" s="10"/>
      <c r="CC255" s="10"/>
      <c r="CD255" s="10"/>
      <c r="CE255" s="10"/>
      <c r="CF255" s="10"/>
      <c r="CG255" s="10"/>
      <c r="CH255" s="10"/>
      <c r="CI255" s="10"/>
      <c r="CJ255" s="10"/>
      <c r="CK255" s="10"/>
      <c r="CL255" s="10"/>
      <c r="CM255" s="10"/>
      <c r="CN255" s="10"/>
      <c r="CO255" s="10"/>
      <c r="CP255" s="10"/>
      <c r="CQ255" s="10"/>
      <c r="CR255" s="10"/>
      <c r="CS255" s="10"/>
      <c r="CT255" s="10"/>
      <c r="CU255" s="10"/>
      <c r="CV255" s="10"/>
      <c r="CW255" s="10"/>
      <c r="CX255" s="10"/>
      <c r="CY255" s="10"/>
      <c r="CZ255" s="10"/>
      <c r="DA255" s="10"/>
      <c r="DB255" s="10"/>
      <c r="DC255" s="10"/>
      <c r="DD255" s="10"/>
      <c r="DE255" s="10"/>
      <c r="DF255" s="10"/>
      <c r="DG255" s="10"/>
      <c r="DH255" s="10"/>
    </row>
    <row r="256" spans="1:112" ht="15.75" customHeight="1" x14ac:dyDescent="0.3">
      <c r="A256" s="10"/>
      <c r="B256" s="10"/>
      <c r="C256" s="10"/>
      <c r="D256" s="10"/>
      <c r="E256" s="10"/>
      <c r="F256" s="10"/>
      <c r="G256" s="10"/>
      <c r="H256" s="10"/>
      <c r="I256" s="10"/>
      <c r="J256" s="10"/>
      <c r="K256" s="10"/>
      <c r="L256" s="10"/>
      <c r="M256" s="10"/>
      <c r="N256" s="10"/>
      <c r="O256" s="10"/>
      <c r="P256" s="13"/>
      <c r="Q256" s="10"/>
      <c r="R256" s="10"/>
      <c r="S256" s="10"/>
      <c r="T256" s="10"/>
      <c r="U256" s="10"/>
      <c r="V256" s="10"/>
      <c r="W256" s="10"/>
      <c r="X256" s="10"/>
      <c r="Y256" s="10"/>
      <c r="Z256" s="10"/>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0"/>
      <c r="BC256" s="10"/>
      <c r="BD256" s="10"/>
      <c r="BE256" s="10"/>
      <c r="BF256" s="10"/>
      <c r="BG256" s="10"/>
      <c r="BH256" s="10"/>
      <c r="BI256" s="10"/>
      <c r="BJ256" s="10"/>
      <c r="BK256" s="10"/>
      <c r="BL256" s="10"/>
      <c r="BM256" s="10"/>
      <c r="BN256" s="10"/>
      <c r="BO256" s="10"/>
      <c r="BP256" s="10"/>
      <c r="BQ256" s="10"/>
      <c r="BR256" s="10"/>
      <c r="BS256" s="10"/>
      <c r="BT256" s="10"/>
      <c r="BU256" s="10"/>
      <c r="BV256" s="10"/>
      <c r="BW256" s="10"/>
      <c r="BX256" s="10"/>
      <c r="BY256" s="10"/>
      <c r="BZ256" s="10"/>
      <c r="CA256" s="10"/>
      <c r="CB256" s="10"/>
      <c r="CC256" s="10"/>
      <c r="CD256" s="10"/>
      <c r="CE256" s="10"/>
      <c r="CF256" s="10"/>
      <c r="CG256" s="10"/>
      <c r="CH256" s="10"/>
      <c r="CI256" s="10"/>
      <c r="CJ256" s="10"/>
      <c r="CK256" s="10"/>
      <c r="CL256" s="10"/>
      <c r="CM256" s="10"/>
      <c r="CN256" s="10"/>
      <c r="CO256" s="10"/>
      <c r="CP256" s="10"/>
      <c r="CQ256" s="10"/>
      <c r="CR256" s="10"/>
      <c r="CS256" s="10"/>
      <c r="CT256" s="10"/>
      <c r="CU256" s="10"/>
      <c r="CV256" s="10"/>
      <c r="CW256" s="10"/>
      <c r="CX256" s="10"/>
      <c r="CY256" s="10"/>
      <c r="CZ256" s="10"/>
      <c r="DA256" s="10"/>
      <c r="DB256" s="10"/>
      <c r="DC256" s="10"/>
      <c r="DD256" s="10"/>
      <c r="DE256" s="10"/>
      <c r="DF256" s="10"/>
      <c r="DG256" s="10"/>
      <c r="DH256" s="10"/>
    </row>
    <row r="257" spans="1:112" ht="15.75" customHeight="1" x14ac:dyDescent="0.3">
      <c r="A257" s="10"/>
      <c r="B257" s="10"/>
      <c r="C257" s="10"/>
      <c r="D257" s="10"/>
      <c r="E257" s="10"/>
      <c r="F257" s="10"/>
      <c r="G257" s="10"/>
      <c r="H257" s="10"/>
      <c r="I257" s="10"/>
      <c r="J257" s="10"/>
      <c r="K257" s="10"/>
      <c r="L257" s="10"/>
      <c r="M257" s="10"/>
      <c r="N257" s="10"/>
      <c r="O257" s="10"/>
      <c r="P257" s="13"/>
      <c r="Q257" s="10"/>
      <c r="R257" s="10"/>
      <c r="S257" s="10"/>
      <c r="T257" s="10"/>
      <c r="U257" s="10"/>
      <c r="V257" s="10"/>
      <c r="W257" s="10"/>
      <c r="X257" s="10"/>
      <c r="Y257" s="10"/>
      <c r="Z257" s="10"/>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0"/>
      <c r="BC257" s="10"/>
      <c r="BD257" s="10"/>
      <c r="BE257" s="10"/>
      <c r="BF257" s="10"/>
      <c r="BG257" s="10"/>
      <c r="BH257" s="10"/>
      <c r="BI257" s="10"/>
      <c r="BJ257" s="10"/>
      <c r="BK257" s="10"/>
      <c r="BL257" s="10"/>
      <c r="BM257" s="10"/>
      <c r="BN257" s="10"/>
      <c r="BO257" s="10"/>
      <c r="BP257" s="10"/>
      <c r="BQ257" s="10"/>
      <c r="BR257" s="10"/>
      <c r="BS257" s="10"/>
      <c r="BT257" s="10"/>
      <c r="BU257" s="10"/>
      <c r="BV257" s="10"/>
      <c r="BW257" s="10"/>
      <c r="BX257" s="10"/>
      <c r="BY257" s="10"/>
      <c r="BZ257" s="10"/>
      <c r="CA257" s="10"/>
      <c r="CB257" s="10"/>
      <c r="CC257" s="10"/>
      <c r="CD257" s="10"/>
      <c r="CE257" s="10"/>
      <c r="CF257" s="10"/>
      <c r="CG257" s="10"/>
      <c r="CH257" s="10"/>
      <c r="CI257" s="10"/>
      <c r="CJ257" s="10"/>
      <c r="CK257" s="10"/>
      <c r="CL257" s="10"/>
      <c r="CM257" s="10"/>
      <c r="CN257" s="10"/>
      <c r="CO257" s="10"/>
      <c r="CP257" s="10"/>
      <c r="CQ257" s="10"/>
      <c r="CR257" s="10"/>
      <c r="CS257" s="10"/>
      <c r="CT257" s="10"/>
      <c r="CU257" s="10"/>
      <c r="CV257" s="10"/>
      <c r="CW257" s="10"/>
      <c r="CX257" s="10"/>
      <c r="CY257" s="10"/>
      <c r="CZ257" s="10"/>
      <c r="DA257" s="10"/>
      <c r="DB257" s="10"/>
      <c r="DC257" s="10"/>
      <c r="DD257" s="10"/>
      <c r="DE257" s="10"/>
      <c r="DF257" s="10"/>
      <c r="DG257" s="10"/>
      <c r="DH257" s="10"/>
    </row>
    <row r="258" spans="1:112" ht="15.75" customHeight="1" x14ac:dyDescent="0.3">
      <c r="A258" s="10"/>
      <c r="B258" s="10"/>
      <c r="C258" s="10"/>
      <c r="D258" s="10"/>
      <c r="E258" s="10"/>
      <c r="F258" s="10"/>
      <c r="G258" s="10"/>
      <c r="H258" s="10"/>
      <c r="I258" s="10"/>
      <c r="J258" s="10"/>
      <c r="K258" s="10"/>
      <c r="L258" s="10"/>
      <c r="M258" s="10"/>
      <c r="N258" s="10"/>
      <c r="O258" s="10"/>
      <c r="P258" s="13"/>
      <c r="Q258" s="10"/>
      <c r="R258" s="10"/>
      <c r="S258" s="10"/>
      <c r="T258" s="10"/>
      <c r="U258" s="10"/>
      <c r="V258" s="10"/>
      <c r="W258" s="10"/>
      <c r="X258" s="10"/>
      <c r="Y258" s="10"/>
      <c r="Z258" s="10"/>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0"/>
      <c r="BC258" s="10"/>
      <c r="BD258" s="10"/>
      <c r="BE258" s="10"/>
      <c r="BF258" s="10"/>
      <c r="BG258" s="10"/>
      <c r="BH258" s="10"/>
      <c r="BI258" s="10"/>
      <c r="BJ258" s="10"/>
      <c r="BK258" s="10"/>
      <c r="BL258" s="10"/>
      <c r="BM258" s="10"/>
      <c r="BN258" s="10"/>
      <c r="BO258" s="10"/>
      <c r="BP258" s="10"/>
      <c r="BQ258" s="10"/>
      <c r="BR258" s="10"/>
      <c r="BS258" s="10"/>
      <c r="BT258" s="10"/>
      <c r="BU258" s="10"/>
      <c r="BV258" s="10"/>
      <c r="BW258" s="10"/>
      <c r="BX258" s="10"/>
      <c r="BY258" s="10"/>
      <c r="BZ258" s="10"/>
      <c r="CA258" s="10"/>
      <c r="CB258" s="10"/>
      <c r="CC258" s="10"/>
      <c r="CD258" s="10"/>
      <c r="CE258" s="10"/>
      <c r="CF258" s="10"/>
      <c r="CG258" s="10"/>
      <c r="CH258" s="10"/>
      <c r="CI258" s="10"/>
      <c r="CJ258" s="10"/>
      <c r="CK258" s="10"/>
      <c r="CL258" s="10"/>
      <c r="CM258" s="10"/>
      <c r="CN258" s="10"/>
      <c r="CO258" s="10"/>
      <c r="CP258" s="10"/>
      <c r="CQ258" s="10"/>
      <c r="CR258" s="10"/>
      <c r="CS258" s="10"/>
      <c r="CT258" s="10"/>
      <c r="CU258" s="10"/>
      <c r="CV258" s="10"/>
      <c r="CW258" s="10"/>
      <c r="CX258" s="10"/>
      <c r="CY258" s="10"/>
      <c r="CZ258" s="10"/>
      <c r="DA258" s="10"/>
      <c r="DB258" s="10"/>
      <c r="DC258" s="10"/>
      <c r="DD258" s="10"/>
      <c r="DE258" s="10"/>
      <c r="DF258" s="10"/>
      <c r="DG258" s="10"/>
      <c r="DH258" s="10"/>
    </row>
    <row r="259" spans="1:112" ht="15.75" customHeight="1" x14ac:dyDescent="0.3">
      <c r="A259" s="10"/>
      <c r="B259" s="10"/>
      <c r="C259" s="10"/>
      <c r="D259" s="10"/>
      <c r="E259" s="10"/>
      <c r="F259" s="10"/>
      <c r="G259" s="10"/>
      <c r="H259" s="10"/>
      <c r="I259" s="10"/>
      <c r="J259" s="10"/>
      <c r="K259" s="10"/>
      <c r="L259" s="10"/>
      <c r="M259" s="10"/>
      <c r="N259" s="10"/>
      <c r="O259" s="10"/>
      <c r="P259" s="13"/>
      <c r="Q259" s="10"/>
      <c r="R259" s="10"/>
      <c r="S259" s="10"/>
      <c r="T259" s="10"/>
      <c r="U259" s="10"/>
      <c r="V259" s="10"/>
      <c r="W259" s="10"/>
      <c r="X259" s="10"/>
      <c r="Y259" s="10"/>
      <c r="Z259" s="10"/>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0"/>
      <c r="BC259" s="10"/>
      <c r="BD259" s="10"/>
      <c r="BE259" s="10"/>
      <c r="BF259" s="10"/>
      <c r="BG259" s="10"/>
      <c r="BH259" s="10"/>
      <c r="BI259" s="10"/>
      <c r="BJ259" s="10"/>
      <c r="BK259" s="10"/>
      <c r="BL259" s="10"/>
      <c r="BM259" s="10"/>
      <c r="BN259" s="10"/>
      <c r="BO259" s="10"/>
      <c r="BP259" s="10"/>
      <c r="BQ259" s="10"/>
      <c r="BR259" s="10"/>
      <c r="BS259" s="10"/>
      <c r="BT259" s="10"/>
      <c r="BU259" s="10"/>
      <c r="BV259" s="10"/>
      <c r="BW259" s="10"/>
      <c r="BX259" s="10"/>
      <c r="BY259" s="10"/>
      <c r="BZ259" s="10"/>
      <c r="CA259" s="10"/>
      <c r="CB259" s="10"/>
      <c r="CC259" s="10"/>
      <c r="CD259" s="10"/>
      <c r="CE259" s="10"/>
      <c r="CF259" s="10"/>
      <c r="CG259" s="10"/>
      <c r="CH259" s="10"/>
      <c r="CI259" s="10"/>
      <c r="CJ259" s="10"/>
      <c r="CK259" s="10"/>
      <c r="CL259" s="10"/>
      <c r="CM259" s="10"/>
      <c r="CN259" s="10"/>
      <c r="CO259" s="10"/>
      <c r="CP259" s="10"/>
      <c r="CQ259" s="10"/>
      <c r="CR259" s="10"/>
      <c r="CS259" s="10"/>
      <c r="CT259" s="10"/>
      <c r="CU259" s="10"/>
      <c r="CV259" s="10"/>
      <c r="CW259" s="10"/>
      <c r="CX259" s="10"/>
      <c r="CY259" s="10"/>
      <c r="CZ259" s="10"/>
      <c r="DA259" s="10"/>
      <c r="DB259" s="10"/>
      <c r="DC259" s="10"/>
      <c r="DD259" s="10"/>
      <c r="DE259" s="10"/>
      <c r="DF259" s="10"/>
      <c r="DG259" s="10"/>
      <c r="DH259" s="10"/>
    </row>
    <row r="260" spans="1:112" ht="15.75" customHeight="1" x14ac:dyDescent="0.3">
      <c r="A260" s="10"/>
      <c r="B260" s="10"/>
      <c r="C260" s="10"/>
      <c r="D260" s="10"/>
      <c r="E260" s="10"/>
      <c r="F260" s="10"/>
      <c r="G260" s="10"/>
      <c r="H260" s="10"/>
      <c r="I260" s="10"/>
      <c r="J260" s="10"/>
      <c r="K260" s="10"/>
      <c r="L260" s="10"/>
      <c r="M260" s="10"/>
      <c r="N260" s="10"/>
      <c r="O260" s="10"/>
      <c r="P260" s="13"/>
      <c r="Q260" s="10"/>
      <c r="R260" s="10"/>
      <c r="S260" s="10"/>
      <c r="T260" s="10"/>
      <c r="U260" s="10"/>
      <c r="V260" s="10"/>
      <c r="W260" s="10"/>
      <c r="X260" s="10"/>
      <c r="Y260" s="10"/>
      <c r="Z260" s="10"/>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0"/>
      <c r="BC260" s="10"/>
      <c r="BD260" s="10"/>
      <c r="BE260" s="10"/>
      <c r="BF260" s="10"/>
      <c r="BG260" s="10"/>
      <c r="BH260" s="10"/>
      <c r="BI260" s="10"/>
      <c r="BJ260" s="10"/>
      <c r="BK260" s="10"/>
      <c r="BL260" s="10"/>
      <c r="BM260" s="10"/>
      <c r="BN260" s="10"/>
      <c r="BO260" s="10"/>
      <c r="BP260" s="10"/>
      <c r="BQ260" s="10"/>
      <c r="BR260" s="10"/>
      <c r="BS260" s="10"/>
      <c r="BT260" s="10"/>
      <c r="BU260" s="10"/>
      <c r="BV260" s="10"/>
      <c r="BW260" s="10"/>
      <c r="BX260" s="10"/>
      <c r="BY260" s="10"/>
      <c r="BZ260" s="10"/>
      <c r="CA260" s="10"/>
      <c r="CB260" s="10"/>
      <c r="CC260" s="10"/>
      <c r="CD260" s="10"/>
      <c r="CE260" s="10"/>
      <c r="CF260" s="10"/>
      <c r="CG260" s="10"/>
      <c r="CH260" s="10"/>
      <c r="CI260" s="10"/>
      <c r="CJ260" s="10"/>
      <c r="CK260" s="10"/>
      <c r="CL260" s="10"/>
      <c r="CM260" s="10"/>
      <c r="CN260" s="10"/>
      <c r="CO260" s="10"/>
      <c r="CP260" s="10"/>
      <c r="CQ260" s="10"/>
      <c r="CR260" s="10"/>
      <c r="CS260" s="10"/>
      <c r="CT260" s="10"/>
      <c r="CU260" s="10"/>
      <c r="CV260" s="10"/>
      <c r="CW260" s="10"/>
      <c r="CX260" s="10"/>
      <c r="CY260" s="10"/>
      <c r="CZ260" s="10"/>
      <c r="DA260" s="10"/>
      <c r="DB260" s="10"/>
      <c r="DC260" s="10"/>
      <c r="DD260" s="10"/>
      <c r="DE260" s="10"/>
      <c r="DF260" s="10"/>
      <c r="DG260" s="10"/>
      <c r="DH260" s="10"/>
    </row>
    <row r="261" spans="1:112" ht="15.75" customHeight="1" x14ac:dyDescent="0.3">
      <c r="A261" s="10"/>
      <c r="B261" s="10"/>
      <c r="C261" s="10"/>
      <c r="D261" s="10"/>
      <c r="E261" s="10"/>
      <c r="F261" s="10"/>
      <c r="G261" s="10"/>
      <c r="H261" s="10"/>
      <c r="I261" s="10"/>
      <c r="J261" s="10"/>
      <c r="K261" s="10"/>
      <c r="L261" s="10"/>
      <c r="M261" s="10"/>
      <c r="N261" s="10"/>
      <c r="O261" s="10"/>
      <c r="P261" s="13"/>
      <c r="Q261" s="10"/>
      <c r="R261" s="10"/>
      <c r="S261" s="10"/>
      <c r="T261" s="10"/>
      <c r="U261" s="10"/>
      <c r="V261" s="10"/>
      <c r="W261" s="10"/>
      <c r="X261" s="10"/>
      <c r="Y261" s="10"/>
      <c r="Z261" s="10"/>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0"/>
      <c r="BC261" s="10"/>
      <c r="BD261" s="10"/>
      <c r="BE261" s="10"/>
      <c r="BF261" s="10"/>
      <c r="BG261" s="10"/>
      <c r="BH261" s="10"/>
      <c r="BI261" s="10"/>
      <c r="BJ261" s="10"/>
      <c r="BK261" s="10"/>
      <c r="BL261" s="10"/>
      <c r="BM261" s="10"/>
      <c r="BN261" s="10"/>
      <c r="BO261" s="10"/>
      <c r="BP261" s="10"/>
      <c r="BQ261" s="10"/>
      <c r="BR261" s="10"/>
      <c r="BS261" s="10"/>
      <c r="BT261" s="10"/>
      <c r="BU261" s="10"/>
      <c r="BV261" s="10"/>
      <c r="BW261" s="10"/>
      <c r="BX261" s="10"/>
      <c r="BY261" s="10"/>
      <c r="BZ261" s="10"/>
      <c r="CA261" s="10"/>
      <c r="CB261" s="10"/>
      <c r="CC261" s="10"/>
      <c r="CD261" s="10"/>
      <c r="CE261" s="10"/>
      <c r="CF261" s="10"/>
      <c r="CG261" s="10"/>
      <c r="CH261" s="10"/>
      <c r="CI261" s="10"/>
      <c r="CJ261" s="10"/>
      <c r="CK261" s="10"/>
      <c r="CL261" s="10"/>
      <c r="CM261" s="10"/>
      <c r="CN261" s="10"/>
      <c r="CO261" s="10"/>
      <c r="CP261" s="10"/>
      <c r="CQ261" s="10"/>
      <c r="CR261" s="10"/>
      <c r="CS261" s="10"/>
      <c r="CT261" s="10"/>
      <c r="CU261" s="10"/>
      <c r="CV261" s="10"/>
      <c r="CW261" s="10"/>
      <c r="CX261" s="10"/>
      <c r="CY261" s="10"/>
      <c r="CZ261" s="10"/>
      <c r="DA261" s="10"/>
      <c r="DB261" s="10"/>
      <c r="DC261" s="10"/>
      <c r="DD261" s="10"/>
      <c r="DE261" s="10"/>
      <c r="DF261" s="10"/>
      <c r="DG261" s="10"/>
      <c r="DH261" s="10"/>
    </row>
    <row r="262" spans="1:112" ht="15.75" customHeight="1" x14ac:dyDescent="0.3">
      <c r="A262" s="10"/>
      <c r="B262" s="10"/>
      <c r="C262" s="10"/>
      <c r="D262" s="10"/>
      <c r="E262" s="10"/>
      <c r="F262" s="10"/>
      <c r="G262" s="10"/>
      <c r="H262" s="10"/>
      <c r="I262" s="10"/>
      <c r="J262" s="10"/>
      <c r="K262" s="10"/>
      <c r="L262" s="10"/>
      <c r="M262" s="10"/>
      <c r="N262" s="10"/>
      <c r="O262" s="10"/>
      <c r="P262" s="13"/>
      <c r="Q262" s="10"/>
      <c r="R262" s="10"/>
      <c r="S262" s="10"/>
      <c r="T262" s="10"/>
      <c r="U262" s="10"/>
      <c r="V262" s="10"/>
      <c r="W262" s="10"/>
      <c r="X262" s="10"/>
      <c r="Y262" s="10"/>
      <c r="Z262" s="10"/>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0"/>
      <c r="BC262" s="10"/>
      <c r="BD262" s="10"/>
      <c r="BE262" s="10"/>
      <c r="BF262" s="10"/>
      <c r="BG262" s="10"/>
      <c r="BH262" s="10"/>
      <c r="BI262" s="10"/>
      <c r="BJ262" s="10"/>
      <c r="BK262" s="10"/>
      <c r="BL262" s="10"/>
      <c r="BM262" s="10"/>
      <c r="BN262" s="10"/>
      <c r="BO262" s="10"/>
      <c r="BP262" s="10"/>
      <c r="BQ262" s="10"/>
      <c r="BR262" s="10"/>
      <c r="BS262" s="10"/>
      <c r="BT262" s="10"/>
      <c r="BU262" s="10"/>
      <c r="BV262" s="10"/>
      <c r="BW262" s="10"/>
      <c r="BX262" s="10"/>
      <c r="BY262" s="10"/>
      <c r="BZ262" s="10"/>
      <c r="CA262" s="10"/>
      <c r="CB262" s="10"/>
      <c r="CC262" s="10"/>
      <c r="CD262" s="10"/>
      <c r="CE262" s="10"/>
      <c r="CF262" s="10"/>
      <c r="CG262" s="10"/>
      <c r="CH262" s="10"/>
      <c r="CI262" s="10"/>
      <c r="CJ262" s="10"/>
      <c r="CK262" s="10"/>
      <c r="CL262" s="10"/>
      <c r="CM262" s="10"/>
      <c r="CN262" s="10"/>
      <c r="CO262" s="10"/>
      <c r="CP262" s="10"/>
      <c r="CQ262" s="10"/>
      <c r="CR262" s="10"/>
      <c r="CS262" s="10"/>
      <c r="CT262" s="10"/>
      <c r="CU262" s="10"/>
      <c r="CV262" s="10"/>
      <c r="CW262" s="10"/>
      <c r="CX262" s="10"/>
      <c r="CY262" s="10"/>
      <c r="CZ262" s="10"/>
      <c r="DA262" s="10"/>
      <c r="DB262" s="10"/>
      <c r="DC262" s="10"/>
      <c r="DD262" s="10"/>
      <c r="DE262" s="10"/>
      <c r="DF262" s="10"/>
      <c r="DG262" s="10"/>
      <c r="DH262" s="10"/>
    </row>
    <row r="263" spans="1:112" ht="15.75" customHeight="1" x14ac:dyDescent="0.3">
      <c r="A263" s="10"/>
      <c r="B263" s="10"/>
      <c r="C263" s="10"/>
      <c r="D263" s="10"/>
      <c r="E263" s="10"/>
      <c r="F263" s="10"/>
      <c r="G263" s="10"/>
      <c r="H263" s="10"/>
      <c r="I263" s="10"/>
      <c r="J263" s="10"/>
      <c r="K263" s="10"/>
      <c r="L263" s="10"/>
      <c r="M263" s="10"/>
      <c r="N263" s="10"/>
      <c r="O263" s="10"/>
      <c r="P263" s="13"/>
      <c r="Q263" s="10"/>
      <c r="R263" s="10"/>
      <c r="S263" s="10"/>
      <c r="T263" s="10"/>
      <c r="U263" s="10"/>
      <c r="V263" s="10"/>
      <c r="W263" s="10"/>
      <c r="X263" s="10"/>
      <c r="Y263" s="10"/>
      <c r="Z263" s="10"/>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0"/>
      <c r="BC263" s="10"/>
      <c r="BD263" s="10"/>
      <c r="BE263" s="10"/>
      <c r="BF263" s="10"/>
      <c r="BG263" s="10"/>
      <c r="BH263" s="10"/>
      <c r="BI263" s="10"/>
      <c r="BJ263" s="10"/>
      <c r="BK263" s="10"/>
      <c r="BL263" s="10"/>
      <c r="BM263" s="10"/>
      <c r="BN263" s="10"/>
      <c r="BO263" s="10"/>
      <c r="BP263" s="10"/>
      <c r="BQ263" s="10"/>
      <c r="BR263" s="10"/>
      <c r="BS263" s="10"/>
      <c r="BT263" s="10"/>
      <c r="BU263" s="10"/>
      <c r="BV263" s="10"/>
      <c r="BW263" s="10"/>
      <c r="BX263" s="10"/>
      <c r="BY263" s="10"/>
      <c r="BZ263" s="10"/>
      <c r="CA263" s="10"/>
      <c r="CB263" s="10"/>
      <c r="CC263" s="10"/>
      <c r="CD263" s="10"/>
      <c r="CE263" s="10"/>
      <c r="CF263" s="10"/>
      <c r="CG263" s="10"/>
      <c r="CH263" s="10"/>
      <c r="CI263" s="10"/>
      <c r="CJ263" s="10"/>
      <c r="CK263" s="10"/>
      <c r="CL263" s="10"/>
      <c r="CM263" s="10"/>
      <c r="CN263" s="10"/>
      <c r="CO263" s="10"/>
      <c r="CP263" s="10"/>
      <c r="CQ263" s="10"/>
      <c r="CR263" s="10"/>
      <c r="CS263" s="10"/>
      <c r="CT263" s="10"/>
      <c r="CU263" s="10"/>
      <c r="CV263" s="10"/>
      <c r="CW263" s="10"/>
      <c r="CX263" s="10"/>
      <c r="CY263" s="10"/>
      <c r="CZ263" s="10"/>
      <c r="DA263" s="10"/>
      <c r="DB263" s="10"/>
      <c r="DC263" s="10"/>
      <c r="DD263" s="10"/>
      <c r="DE263" s="10"/>
      <c r="DF263" s="10"/>
      <c r="DG263" s="10"/>
      <c r="DH263" s="10"/>
    </row>
    <row r="264" spans="1:112" ht="15.75" customHeight="1" x14ac:dyDescent="0.3">
      <c r="A264" s="10"/>
      <c r="B264" s="10"/>
      <c r="C264" s="10"/>
      <c r="D264" s="10"/>
      <c r="E264" s="10"/>
      <c r="F264" s="10"/>
      <c r="G264" s="10"/>
      <c r="H264" s="10"/>
      <c r="I264" s="10"/>
      <c r="J264" s="10"/>
      <c r="K264" s="10"/>
      <c r="L264" s="10"/>
      <c r="M264" s="10"/>
      <c r="N264" s="10"/>
      <c r="O264" s="10"/>
      <c r="P264" s="13"/>
      <c r="Q264" s="10"/>
      <c r="R264" s="10"/>
      <c r="S264" s="10"/>
      <c r="T264" s="10"/>
      <c r="U264" s="10"/>
      <c r="V264" s="10"/>
      <c r="W264" s="10"/>
      <c r="X264" s="10"/>
      <c r="Y264" s="10"/>
      <c r="Z264" s="10"/>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0"/>
      <c r="BC264" s="10"/>
      <c r="BD264" s="10"/>
      <c r="BE264" s="10"/>
      <c r="BF264" s="10"/>
      <c r="BG264" s="10"/>
      <c r="BH264" s="10"/>
      <c r="BI264" s="10"/>
      <c r="BJ264" s="10"/>
      <c r="BK264" s="10"/>
      <c r="BL264" s="10"/>
      <c r="BM264" s="10"/>
      <c r="BN264" s="10"/>
      <c r="BO264" s="10"/>
      <c r="BP264" s="10"/>
      <c r="BQ264" s="10"/>
      <c r="BR264" s="10"/>
      <c r="BS264" s="10"/>
      <c r="BT264" s="10"/>
      <c r="BU264" s="10"/>
      <c r="BV264" s="10"/>
      <c r="BW264" s="10"/>
      <c r="BX264" s="10"/>
      <c r="BY264" s="10"/>
      <c r="BZ264" s="10"/>
      <c r="CA264" s="10"/>
      <c r="CB264" s="10"/>
      <c r="CC264" s="10"/>
      <c r="CD264" s="10"/>
      <c r="CE264" s="10"/>
      <c r="CF264" s="10"/>
      <c r="CG264" s="10"/>
      <c r="CH264" s="10"/>
      <c r="CI264" s="10"/>
      <c r="CJ264" s="10"/>
      <c r="CK264" s="10"/>
      <c r="CL264" s="10"/>
      <c r="CM264" s="10"/>
      <c r="CN264" s="10"/>
      <c r="CO264" s="10"/>
      <c r="CP264" s="10"/>
      <c r="CQ264" s="10"/>
      <c r="CR264" s="10"/>
      <c r="CS264" s="10"/>
      <c r="CT264" s="10"/>
      <c r="CU264" s="10"/>
      <c r="CV264" s="10"/>
      <c r="CW264" s="10"/>
      <c r="CX264" s="10"/>
      <c r="CY264" s="10"/>
      <c r="CZ264" s="10"/>
      <c r="DA264" s="10"/>
      <c r="DB264" s="10"/>
      <c r="DC264" s="10"/>
      <c r="DD264" s="10"/>
      <c r="DE264" s="10"/>
      <c r="DF264" s="10"/>
      <c r="DG264" s="10"/>
      <c r="DH264" s="10"/>
    </row>
    <row r="265" spans="1:112" ht="15.75" customHeight="1" x14ac:dyDescent="0.3">
      <c r="A265" s="10"/>
      <c r="B265" s="10"/>
      <c r="C265" s="10"/>
      <c r="D265" s="10"/>
      <c r="E265" s="10"/>
      <c r="F265" s="10"/>
      <c r="G265" s="10"/>
      <c r="H265" s="10"/>
      <c r="I265" s="10"/>
      <c r="J265" s="10"/>
      <c r="K265" s="10"/>
      <c r="L265" s="10"/>
      <c r="M265" s="10"/>
      <c r="N265" s="10"/>
      <c r="O265" s="10"/>
      <c r="P265" s="13"/>
      <c r="Q265" s="10"/>
      <c r="R265" s="10"/>
      <c r="S265" s="10"/>
      <c r="T265" s="10"/>
      <c r="U265" s="10"/>
      <c r="V265" s="10"/>
      <c r="W265" s="10"/>
      <c r="X265" s="10"/>
      <c r="Y265" s="10"/>
      <c r="Z265" s="10"/>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0"/>
      <c r="BC265" s="10"/>
      <c r="BD265" s="10"/>
      <c r="BE265" s="10"/>
      <c r="BF265" s="10"/>
      <c r="BG265" s="10"/>
      <c r="BH265" s="10"/>
      <c r="BI265" s="10"/>
      <c r="BJ265" s="10"/>
      <c r="BK265" s="10"/>
      <c r="BL265" s="10"/>
      <c r="BM265" s="10"/>
      <c r="BN265" s="10"/>
      <c r="BO265" s="10"/>
      <c r="BP265" s="10"/>
      <c r="BQ265" s="10"/>
      <c r="BR265" s="10"/>
      <c r="BS265" s="10"/>
      <c r="BT265" s="10"/>
      <c r="BU265" s="10"/>
      <c r="BV265" s="10"/>
      <c r="BW265" s="10"/>
      <c r="BX265" s="10"/>
      <c r="BY265" s="10"/>
      <c r="BZ265" s="10"/>
      <c r="CA265" s="10"/>
      <c r="CB265" s="10"/>
      <c r="CC265" s="10"/>
      <c r="CD265" s="10"/>
      <c r="CE265" s="10"/>
      <c r="CF265" s="10"/>
      <c r="CG265" s="10"/>
      <c r="CH265" s="10"/>
      <c r="CI265" s="10"/>
      <c r="CJ265" s="10"/>
      <c r="CK265" s="10"/>
      <c r="CL265" s="10"/>
      <c r="CM265" s="10"/>
      <c r="CN265" s="10"/>
      <c r="CO265" s="10"/>
      <c r="CP265" s="10"/>
      <c r="CQ265" s="10"/>
      <c r="CR265" s="10"/>
      <c r="CS265" s="10"/>
      <c r="CT265" s="10"/>
      <c r="CU265" s="10"/>
      <c r="CV265" s="10"/>
      <c r="CW265" s="10"/>
      <c r="CX265" s="10"/>
      <c r="CY265" s="10"/>
      <c r="CZ265" s="10"/>
      <c r="DA265" s="10"/>
      <c r="DB265" s="10"/>
      <c r="DC265" s="10"/>
      <c r="DD265" s="10"/>
      <c r="DE265" s="10"/>
      <c r="DF265" s="10"/>
      <c r="DG265" s="10"/>
      <c r="DH265" s="10"/>
    </row>
    <row r="266" spans="1:112" ht="15.75" customHeight="1" x14ac:dyDescent="0.3">
      <c r="A266" s="10"/>
      <c r="B266" s="10"/>
      <c r="C266" s="10"/>
      <c r="D266" s="10"/>
      <c r="E266" s="10"/>
      <c r="F266" s="10"/>
      <c r="G266" s="10"/>
      <c r="H266" s="10"/>
      <c r="I266" s="10"/>
      <c r="J266" s="10"/>
      <c r="K266" s="10"/>
      <c r="L266" s="10"/>
      <c r="M266" s="10"/>
      <c r="N266" s="10"/>
      <c r="O266" s="10"/>
      <c r="P266" s="13"/>
      <c r="Q266" s="10"/>
      <c r="R266" s="10"/>
      <c r="S266" s="10"/>
      <c r="T266" s="10"/>
      <c r="U266" s="10"/>
      <c r="V266" s="10"/>
      <c r="W266" s="10"/>
      <c r="X266" s="10"/>
      <c r="Y266" s="10"/>
      <c r="Z266" s="10"/>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0"/>
      <c r="BC266" s="10"/>
      <c r="BD266" s="10"/>
      <c r="BE266" s="10"/>
      <c r="BF266" s="10"/>
      <c r="BG266" s="10"/>
      <c r="BH266" s="10"/>
      <c r="BI266" s="10"/>
      <c r="BJ266" s="10"/>
      <c r="BK266" s="10"/>
      <c r="BL266" s="10"/>
      <c r="BM266" s="10"/>
      <c r="BN266" s="10"/>
      <c r="BO266" s="10"/>
      <c r="BP266" s="10"/>
      <c r="BQ266" s="10"/>
      <c r="BR266" s="10"/>
      <c r="BS266" s="10"/>
      <c r="BT266" s="10"/>
      <c r="BU266" s="10"/>
      <c r="BV266" s="10"/>
      <c r="BW266" s="10"/>
      <c r="BX266" s="10"/>
      <c r="BY266" s="10"/>
      <c r="BZ266" s="10"/>
      <c r="CA266" s="10"/>
      <c r="CB266" s="10"/>
      <c r="CC266" s="10"/>
      <c r="CD266" s="10"/>
      <c r="CE266" s="10"/>
      <c r="CF266" s="10"/>
      <c r="CG266" s="10"/>
      <c r="CH266" s="10"/>
      <c r="CI266" s="10"/>
      <c r="CJ266" s="10"/>
      <c r="CK266" s="10"/>
      <c r="CL266" s="10"/>
      <c r="CM266" s="10"/>
      <c r="CN266" s="10"/>
      <c r="CO266" s="10"/>
      <c r="CP266" s="10"/>
      <c r="CQ266" s="10"/>
      <c r="CR266" s="10"/>
      <c r="CS266" s="10"/>
      <c r="CT266" s="10"/>
      <c r="CU266" s="10"/>
      <c r="CV266" s="10"/>
      <c r="CW266" s="10"/>
      <c r="CX266" s="10"/>
      <c r="CY266" s="10"/>
      <c r="CZ266" s="10"/>
      <c r="DA266" s="10"/>
      <c r="DB266" s="10"/>
      <c r="DC266" s="10"/>
      <c r="DD266" s="10"/>
      <c r="DE266" s="10"/>
      <c r="DF266" s="10"/>
      <c r="DG266" s="10"/>
      <c r="DH266" s="10"/>
    </row>
    <row r="267" spans="1:112" ht="15.75" customHeight="1" x14ac:dyDescent="0.3">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0"/>
      <c r="BC267" s="10"/>
      <c r="BD267" s="10"/>
      <c r="BE267" s="10"/>
      <c r="BF267" s="10"/>
      <c r="BG267" s="10"/>
      <c r="BH267" s="10"/>
      <c r="BI267" s="10"/>
      <c r="BJ267" s="10"/>
      <c r="BK267" s="10"/>
      <c r="BL267" s="10"/>
      <c r="BM267" s="10"/>
      <c r="BN267" s="10"/>
      <c r="BO267" s="10"/>
      <c r="BP267" s="10"/>
      <c r="BQ267" s="10"/>
      <c r="BR267" s="10"/>
      <c r="BS267" s="10"/>
      <c r="BT267" s="10"/>
      <c r="BU267" s="10"/>
      <c r="BV267" s="10"/>
      <c r="BW267" s="10"/>
      <c r="BX267" s="10"/>
      <c r="BY267" s="10"/>
      <c r="BZ267" s="10"/>
      <c r="CA267" s="10"/>
      <c r="CB267" s="10"/>
      <c r="CC267" s="10"/>
      <c r="CD267" s="10"/>
      <c r="CE267" s="10"/>
      <c r="CF267" s="10"/>
      <c r="CG267" s="10"/>
      <c r="CH267" s="10"/>
      <c r="CI267" s="10"/>
      <c r="CJ267" s="10"/>
      <c r="CK267" s="10"/>
      <c r="CL267" s="10"/>
      <c r="CM267" s="10"/>
      <c r="CN267" s="10"/>
      <c r="CO267" s="10"/>
      <c r="CP267" s="10"/>
      <c r="CQ267" s="10"/>
      <c r="CR267" s="10"/>
      <c r="CS267" s="10"/>
      <c r="CT267" s="10"/>
      <c r="CU267" s="10"/>
      <c r="CV267" s="10"/>
      <c r="CW267" s="10"/>
      <c r="CX267" s="10"/>
      <c r="CY267" s="10"/>
      <c r="CZ267" s="10"/>
      <c r="DA267" s="10"/>
      <c r="DB267" s="10"/>
      <c r="DC267" s="10"/>
      <c r="DD267" s="10"/>
      <c r="DE267" s="10"/>
      <c r="DF267" s="10"/>
      <c r="DG267" s="10"/>
      <c r="DH267" s="10"/>
    </row>
    <row r="268" spans="1:112" ht="15.75" customHeight="1" x14ac:dyDescent="0.3">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0"/>
      <c r="BC268" s="10"/>
      <c r="BD268" s="10"/>
      <c r="BE268" s="10"/>
      <c r="BF268" s="10"/>
      <c r="BG268" s="10"/>
      <c r="BH268" s="10"/>
      <c r="BI268" s="10"/>
      <c r="BJ268" s="10"/>
      <c r="BK268" s="10"/>
      <c r="BL268" s="10"/>
      <c r="BM268" s="10"/>
      <c r="BN268" s="10"/>
      <c r="BO268" s="10"/>
      <c r="BP268" s="10"/>
      <c r="BQ268" s="10"/>
      <c r="BR268" s="10"/>
      <c r="BS268" s="10"/>
      <c r="BT268" s="10"/>
      <c r="BU268" s="10"/>
      <c r="BV268" s="10"/>
      <c r="BW268" s="10"/>
      <c r="BX268" s="10"/>
      <c r="BY268" s="10"/>
      <c r="BZ268" s="10"/>
      <c r="CA268" s="10"/>
      <c r="CB268" s="10"/>
      <c r="CC268" s="10"/>
      <c r="CD268" s="10"/>
      <c r="CE268" s="10"/>
      <c r="CF268" s="10"/>
      <c r="CG268" s="10"/>
      <c r="CH268" s="10"/>
      <c r="CI268" s="10"/>
      <c r="CJ268" s="10"/>
      <c r="CK268" s="10"/>
      <c r="CL268" s="10"/>
      <c r="CM268" s="10"/>
      <c r="CN268" s="10"/>
      <c r="CO268" s="10"/>
      <c r="CP268" s="10"/>
      <c r="CQ268" s="10"/>
      <c r="CR268" s="10"/>
      <c r="CS268" s="10"/>
      <c r="CT268" s="10"/>
      <c r="CU268" s="10"/>
      <c r="CV268" s="10"/>
      <c r="CW268" s="10"/>
      <c r="CX268" s="10"/>
      <c r="CY268" s="10"/>
      <c r="CZ268" s="10"/>
      <c r="DA268" s="10"/>
      <c r="DB268" s="10"/>
      <c r="DC268" s="10"/>
      <c r="DD268" s="10"/>
      <c r="DE268" s="10"/>
      <c r="DF268" s="10"/>
      <c r="DG268" s="10"/>
      <c r="DH268" s="10"/>
    </row>
    <row r="269" spans="1:112" ht="15.75" customHeight="1" x14ac:dyDescent="0.3">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0"/>
      <c r="BC269" s="10"/>
      <c r="BD269" s="10"/>
      <c r="BE269" s="10"/>
      <c r="BF269" s="10"/>
      <c r="BG269" s="10"/>
      <c r="BH269" s="10"/>
      <c r="BI269" s="10"/>
      <c r="BJ269" s="10"/>
      <c r="BK269" s="10"/>
      <c r="BL269" s="10"/>
      <c r="BM269" s="10"/>
      <c r="BN269" s="10"/>
      <c r="BO269" s="10"/>
      <c r="BP269" s="10"/>
      <c r="BQ269" s="10"/>
      <c r="BR269" s="10"/>
      <c r="BS269" s="10"/>
      <c r="BT269" s="10"/>
      <c r="BU269" s="10"/>
      <c r="BV269" s="10"/>
      <c r="BW269" s="10"/>
      <c r="BX269" s="10"/>
      <c r="BY269" s="10"/>
      <c r="BZ269" s="10"/>
      <c r="CA269" s="10"/>
      <c r="CB269" s="10"/>
      <c r="CC269" s="10"/>
      <c r="CD269" s="10"/>
      <c r="CE269" s="10"/>
      <c r="CF269" s="10"/>
      <c r="CG269" s="10"/>
      <c r="CH269" s="10"/>
      <c r="CI269" s="10"/>
      <c r="CJ269" s="10"/>
      <c r="CK269" s="10"/>
      <c r="CL269" s="10"/>
      <c r="CM269" s="10"/>
      <c r="CN269" s="10"/>
      <c r="CO269" s="10"/>
      <c r="CP269" s="10"/>
      <c r="CQ269" s="10"/>
      <c r="CR269" s="10"/>
      <c r="CS269" s="10"/>
      <c r="CT269" s="10"/>
      <c r="CU269" s="10"/>
      <c r="CV269" s="10"/>
      <c r="CW269" s="10"/>
      <c r="CX269" s="10"/>
      <c r="CY269" s="10"/>
      <c r="CZ269" s="10"/>
      <c r="DA269" s="10"/>
      <c r="DB269" s="10"/>
      <c r="DC269" s="10"/>
      <c r="DD269" s="10"/>
      <c r="DE269" s="10"/>
      <c r="DF269" s="10"/>
      <c r="DG269" s="10"/>
      <c r="DH269" s="10"/>
    </row>
    <row r="270" spans="1:112" ht="15.75" customHeight="1" x14ac:dyDescent="0.3">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0"/>
      <c r="BC270" s="10"/>
      <c r="BD270" s="10"/>
      <c r="BE270" s="10"/>
      <c r="BF270" s="10"/>
      <c r="BG270" s="10"/>
      <c r="BH270" s="10"/>
      <c r="BI270" s="10"/>
      <c r="BJ270" s="10"/>
      <c r="BK270" s="10"/>
      <c r="BL270" s="10"/>
      <c r="BM270" s="10"/>
      <c r="BN270" s="10"/>
      <c r="BO270" s="10"/>
      <c r="BP270" s="10"/>
      <c r="BQ270" s="10"/>
      <c r="BR270" s="10"/>
      <c r="BS270" s="10"/>
      <c r="BT270" s="10"/>
      <c r="BU270" s="10"/>
      <c r="BV270" s="10"/>
      <c r="BW270" s="10"/>
      <c r="BX270" s="10"/>
      <c r="BY270" s="10"/>
      <c r="BZ270" s="10"/>
      <c r="CA270" s="10"/>
      <c r="CB270" s="10"/>
      <c r="CC270" s="10"/>
      <c r="CD270" s="10"/>
      <c r="CE270" s="10"/>
      <c r="CF270" s="10"/>
      <c r="CG270" s="10"/>
      <c r="CH270" s="10"/>
      <c r="CI270" s="10"/>
      <c r="CJ270" s="10"/>
      <c r="CK270" s="10"/>
      <c r="CL270" s="10"/>
      <c r="CM270" s="10"/>
      <c r="CN270" s="10"/>
      <c r="CO270" s="10"/>
      <c r="CP270" s="10"/>
      <c r="CQ270" s="10"/>
      <c r="CR270" s="10"/>
      <c r="CS270" s="10"/>
      <c r="CT270" s="10"/>
      <c r="CU270" s="10"/>
      <c r="CV270" s="10"/>
      <c r="CW270" s="10"/>
      <c r="CX270" s="10"/>
      <c r="CY270" s="10"/>
      <c r="CZ270" s="10"/>
      <c r="DA270" s="10"/>
      <c r="DB270" s="10"/>
      <c r="DC270" s="10"/>
      <c r="DD270" s="10"/>
      <c r="DE270" s="10"/>
      <c r="DF270" s="10"/>
      <c r="DG270" s="10"/>
      <c r="DH270" s="10"/>
    </row>
    <row r="271" spans="1:112" ht="15.75" customHeight="1" x14ac:dyDescent="0.3">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0"/>
      <c r="BC271" s="10"/>
      <c r="BD271" s="10"/>
      <c r="BE271" s="10"/>
      <c r="BF271" s="10"/>
      <c r="BG271" s="10"/>
      <c r="BH271" s="10"/>
      <c r="BI271" s="10"/>
      <c r="BJ271" s="10"/>
      <c r="BK271" s="10"/>
      <c r="BL271" s="10"/>
      <c r="BM271" s="10"/>
      <c r="BN271" s="10"/>
      <c r="BO271" s="10"/>
      <c r="BP271" s="10"/>
      <c r="BQ271" s="10"/>
      <c r="BR271" s="10"/>
      <c r="BS271" s="10"/>
      <c r="BT271" s="10"/>
      <c r="BU271" s="10"/>
      <c r="BV271" s="10"/>
      <c r="BW271" s="10"/>
      <c r="BX271" s="10"/>
      <c r="BY271" s="10"/>
      <c r="BZ271" s="10"/>
      <c r="CA271" s="10"/>
      <c r="CB271" s="10"/>
      <c r="CC271" s="10"/>
      <c r="CD271" s="10"/>
      <c r="CE271" s="10"/>
      <c r="CF271" s="10"/>
      <c r="CG271" s="10"/>
      <c r="CH271" s="10"/>
      <c r="CI271" s="10"/>
      <c r="CJ271" s="10"/>
      <c r="CK271" s="10"/>
      <c r="CL271" s="10"/>
      <c r="CM271" s="10"/>
      <c r="CN271" s="10"/>
      <c r="CO271" s="10"/>
      <c r="CP271" s="10"/>
      <c r="CQ271" s="10"/>
      <c r="CR271" s="10"/>
      <c r="CS271" s="10"/>
      <c r="CT271" s="10"/>
      <c r="CU271" s="10"/>
      <c r="CV271" s="10"/>
      <c r="CW271" s="10"/>
      <c r="CX271" s="10"/>
      <c r="CY271" s="10"/>
      <c r="CZ271" s="10"/>
      <c r="DA271" s="10"/>
      <c r="DB271" s="10"/>
      <c r="DC271" s="10"/>
      <c r="DD271" s="10"/>
      <c r="DE271" s="10"/>
      <c r="DF271" s="10"/>
      <c r="DG271" s="10"/>
      <c r="DH271" s="10"/>
    </row>
    <row r="272" spans="1:112" ht="15.75" customHeight="1" x14ac:dyDescent="0.3">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0"/>
      <c r="BC272" s="10"/>
      <c r="BD272" s="10"/>
      <c r="BE272" s="10"/>
      <c r="BF272" s="10"/>
      <c r="BG272" s="10"/>
      <c r="BH272" s="10"/>
      <c r="BI272" s="10"/>
      <c r="BJ272" s="10"/>
      <c r="BK272" s="10"/>
      <c r="BL272" s="10"/>
      <c r="BM272" s="10"/>
      <c r="BN272" s="10"/>
      <c r="BO272" s="10"/>
      <c r="BP272" s="10"/>
      <c r="BQ272" s="10"/>
      <c r="BR272" s="10"/>
      <c r="BS272" s="10"/>
      <c r="BT272" s="10"/>
      <c r="BU272" s="10"/>
      <c r="BV272" s="10"/>
      <c r="BW272" s="10"/>
      <c r="BX272" s="10"/>
      <c r="BY272" s="10"/>
      <c r="BZ272" s="10"/>
      <c r="CA272" s="10"/>
      <c r="CB272" s="10"/>
      <c r="CC272" s="10"/>
      <c r="CD272" s="10"/>
      <c r="CE272" s="10"/>
      <c r="CF272" s="10"/>
      <c r="CG272" s="10"/>
      <c r="CH272" s="10"/>
      <c r="CI272" s="10"/>
      <c r="CJ272" s="10"/>
      <c r="CK272" s="10"/>
      <c r="CL272" s="10"/>
      <c r="CM272" s="10"/>
      <c r="CN272" s="10"/>
      <c r="CO272" s="10"/>
      <c r="CP272" s="10"/>
      <c r="CQ272" s="10"/>
      <c r="CR272" s="10"/>
      <c r="CS272" s="10"/>
      <c r="CT272" s="10"/>
      <c r="CU272" s="10"/>
      <c r="CV272" s="10"/>
      <c r="CW272" s="10"/>
      <c r="CX272" s="10"/>
      <c r="CY272" s="10"/>
      <c r="CZ272" s="10"/>
      <c r="DA272" s="10"/>
      <c r="DB272" s="10"/>
      <c r="DC272" s="10"/>
      <c r="DD272" s="10"/>
      <c r="DE272" s="10"/>
      <c r="DF272" s="10"/>
      <c r="DG272" s="10"/>
      <c r="DH272" s="10"/>
    </row>
    <row r="273" spans="1:112" ht="15.75" customHeight="1" x14ac:dyDescent="0.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0"/>
      <c r="BC273" s="10"/>
      <c r="BD273" s="10"/>
      <c r="BE273" s="10"/>
      <c r="BF273" s="10"/>
      <c r="BG273" s="10"/>
      <c r="BH273" s="10"/>
      <c r="BI273" s="10"/>
      <c r="BJ273" s="10"/>
      <c r="BK273" s="10"/>
      <c r="BL273" s="10"/>
      <c r="BM273" s="10"/>
      <c r="BN273" s="10"/>
      <c r="BO273" s="10"/>
      <c r="BP273" s="10"/>
      <c r="BQ273" s="10"/>
      <c r="BR273" s="10"/>
      <c r="BS273" s="10"/>
      <c r="BT273" s="10"/>
      <c r="BU273" s="10"/>
      <c r="BV273" s="10"/>
      <c r="BW273" s="10"/>
      <c r="BX273" s="10"/>
      <c r="BY273" s="10"/>
      <c r="BZ273" s="10"/>
      <c r="CA273" s="10"/>
      <c r="CB273" s="10"/>
      <c r="CC273" s="10"/>
      <c r="CD273" s="10"/>
      <c r="CE273" s="10"/>
      <c r="CF273" s="10"/>
      <c r="CG273" s="10"/>
      <c r="CH273" s="10"/>
      <c r="CI273" s="10"/>
      <c r="CJ273" s="10"/>
      <c r="CK273" s="10"/>
      <c r="CL273" s="10"/>
      <c r="CM273" s="10"/>
      <c r="CN273" s="10"/>
      <c r="CO273" s="10"/>
      <c r="CP273" s="10"/>
      <c r="CQ273" s="10"/>
      <c r="CR273" s="10"/>
      <c r="CS273" s="10"/>
      <c r="CT273" s="10"/>
      <c r="CU273" s="10"/>
      <c r="CV273" s="10"/>
      <c r="CW273" s="10"/>
      <c r="CX273" s="10"/>
      <c r="CY273" s="10"/>
      <c r="CZ273" s="10"/>
      <c r="DA273" s="10"/>
      <c r="DB273" s="10"/>
      <c r="DC273" s="10"/>
      <c r="DD273" s="10"/>
      <c r="DE273" s="10"/>
      <c r="DF273" s="10"/>
      <c r="DG273" s="10"/>
      <c r="DH273" s="10"/>
    </row>
    <row r="274" spans="1:112" ht="15.75" customHeight="1" x14ac:dyDescent="0.3">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0"/>
      <c r="BC274" s="10"/>
      <c r="BD274" s="10"/>
      <c r="BE274" s="10"/>
      <c r="BF274" s="10"/>
      <c r="BG274" s="10"/>
      <c r="BH274" s="10"/>
      <c r="BI274" s="10"/>
      <c r="BJ274" s="10"/>
      <c r="BK274" s="10"/>
      <c r="BL274" s="10"/>
      <c r="BM274" s="10"/>
      <c r="BN274" s="10"/>
      <c r="BO274" s="10"/>
      <c r="BP274" s="10"/>
      <c r="BQ274" s="10"/>
      <c r="BR274" s="10"/>
      <c r="BS274" s="10"/>
      <c r="BT274" s="10"/>
      <c r="BU274" s="10"/>
      <c r="BV274" s="10"/>
      <c r="BW274" s="10"/>
      <c r="BX274" s="10"/>
      <c r="BY274" s="10"/>
      <c r="BZ274" s="10"/>
      <c r="CA274" s="10"/>
      <c r="CB274" s="10"/>
      <c r="CC274" s="10"/>
      <c r="CD274" s="10"/>
      <c r="CE274" s="10"/>
      <c r="CF274" s="10"/>
      <c r="CG274" s="10"/>
      <c r="CH274" s="10"/>
      <c r="CI274" s="10"/>
      <c r="CJ274" s="10"/>
      <c r="CK274" s="10"/>
      <c r="CL274" s="10"/>
      <c r="CM274" s="10"/>
      <c r="CN274" s="10"/>
      <c r="CO274" s="10"/>
      <c r="CP274" s="10"/>
      <c r="CQ274" s="10"/>
      <c r="CR274" s="10"/>
      <c r="CS274" s="10"/>
      <c r="CT274" s="10"/>
      <c r="CU274" s="10"/>
      <c r="CV274" s="10"/>
      <c r="CW274" s="10"/>
      <c r="CX274" s="10"/>
      <c r="CY274" s="10"/>
      <c r="CZ274" s="10"/>
      <c r="DA274" s="10"/>
      <c r="DB274" s="10"/>
      <c r="DC274" s="10"/>
      <c r="DD274" s="10"/>
      <c r="DE274" s="10"/>
      <c r="DF274" s="10"/>
      <c r="DG274" s="10"/>
      <c r="DH274" s="10"/>
    </row>
    <row r="275" spans="1:112" ht="15.75" customHeight="1" x14ac:dyDescent="0.3">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0"/>
      <c r="BC275" s="10"/>
      <c r="BD275" s="10"/>
      <c r="BE275" s="10"/>
      <c r="BF275" s="10"/>
      <c r="BG275" s="10"/>
      <c r="BH275" s="10"/>
      <c r="BI275" s="10"/>
      <c r="BJ275" s="10"/>
      <c r="BK275" s="10"/>
      <c r="BL275" s="10"/>
      <c r="BM275" s="10"/>
      <c r="BN275" s="10"/>
      <c r="BO275" s="10"/>
      <c r="BP275" s="10"/>
      <c r="BQ275" s="10"/>
      <c r="BR275" s="10"/>
      <c r="BS275" s="10"/>
      <c r="BT275" s="10"/>
      <c r="BU275" s="10"/>
      <c r="BV275" s="10"/>
      <c r="BW275" s="10"/>
      <c r="BX275" s="10"/>
      <c r="BY275" s="10"/>
      <c r="BZ275" s="10"/>
      <c r="CA275" s="10"/>
      <c r="CB275" s="10"/>
      <c r="CC275" s="10"/>
      <c r="CD275" s="10"/>
      <c r="CE275" s="10"/>
      <c r="CF275" s="10"/>
      <c r="CG275" s="10"/>
      <c r="CH275" s="10"/>
      <c r="CI275" s="10"/>
      <c r="CJ275" s="10"/>
      <c r="CK275" s="10"/>
      <c r="CL275" s="10"/>
      <c r="CM275" s="10"/>
      <c r="CN275" s="10"/>
      <c r="CO275" s="10"/>
      <c r="CP275" s="10"/>
      <c r="CQ275" s="10"/>
      <c r="CR275" s="10"/>
      <c r="CS275" s="10"/>
      <c r="CT275" s="10"/>
      <c r="CU275" s="10"/>
      <c r="CV275" s="10"/>
      <c r="CW275" s="10"/>
      <c r="CX275" s="10"/>
      <c r="CY275" s="10"/>
      <c r="CZ275" s="10"/>
      <c r="DA275" s="10"/>
      <c r="DB275" s="10"/>
      <c r="DC275" s="10"/>
      <c r="DD275" s="10"/>
      <c r="DE275" s="10"/>
      <c r="DF275" s="10"/>
      <c r="DG275" s="10"/>
      <c r="DH275" s="10"/>
    </row>
    <row r="276" spans="1:112" ht="15.75" customHeight="1" x14ac:dyDescent="0.3">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0"/>
      <c r="BC276" s="10"/>
      <c r="BD276" s="10"/>
      <c r="BE276" s="10"/>
      <c r="BF276" s="10"/>
      <c r="BG276" s="10"/>
      <c r="BH276" s="10"/>
      <c r="BI276" s="10"/>
      <c r="BJ276" s="10"/>
      <c r="BK276" s="10"/>
      <c r="BL276" s="10"/>
      <c r="BM276" s="10"/>
      <c r="BN276" s="10"/>
      <c r="BO276" s="10"/>
      <c r="BP276" s="10"/>
      <c r="BQ276" s="10"/>
      <c r="BR276" s="10"/>
      <c r="BS276" s="10"/>
      <c r="BT276" s="10"/>
      <c r="BU276" s="10"/>
      <c r="BV276" s="10"/>
      <c r="BW276" s="10"/>
      <c r="BX276" s="10"/>
      <c r="BY276" s="10"/>
      <c r="BZ276" s="10"/>
      <c r="CA276" s="10"/>
      <c r="CB276" s="10"/>
      <c r="CC276" s="10"/>
      <c r="CD276" s="10"/>
      <c r="CE276" s="10"/>
      <c r="CF276" s="10"/>
      <c r="CG276" s="10"/>
      <c r="CH276" s="10"/>
      <c r="CI276" s="10"/>
      <c r="CJ276" s="10"/>
      <c r="CK276" s="10"/>
      <c r="CL276" s="10"/>
      <c r="CM276" s="10"/>
      <c r="CN276" s="10"/>
      <c r="CO276" s="10"/>
      <c r="CP276" s="10"/>
      <c r="CQ276" s="10"/>
      <c r="CR276" s="10"/>
      <c r="CS276" s="10"/>
      <c r="CT276" s="10"/>
      <c r="CU276" s="10"/>
      <c r="CV276" s="10"/>
      <c r="CW276" s="10"/>
      <c r="CX276" s="10"/>
      <c r="CY276" s="10"/>
      <c r="CZ276" s="10"/>
      <c r="DA276" s="10"/>
      <c r="DB276" s="10"/>
      <c r="DC276" s="10"/>
      <c r="DD276" s="10"/>
      <c r="DE276" s="10"/>
      <c r="DF276" s="10"/>
      <c r="DG276" s="10"/>
      <c r="DH276" s="10"/>
    </row>
    <row r="277" spans="1:112" ht="15.75" customHeight="1" x14ac:dyDescent="0.3">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0"/>
      <c r="BC277" s="10"/>
      <c r="BD277" s="10"/>
      <c r="BE277" s="10"/>
      <c r="BF277" s="10"/>
      <c r="BG277" s="10"/>
      <c r="BH277" s="10"/>
      <c r="BI277" s="10"/>
      <c r="BJ277" s="10"/>
      <c r="BK277" s="10"/>
      <c r="BL277" s="10"/>
      <c r="BM277" s="10"/>
      <c r="BN277" s="10"/>
      <c r="BO277" s="10"/>
      <c r="BP277" s="10"/>
      <c r="BQ277" s="10"/>
      <c r="BR277" s="10"/>
      <c r="BS277" s="10"/>
      <c r="BT277" s="10"/>
      <c r="BU277" s="10"/>
      <c r="BV277" s="10"/>
      <c r="BW277" s="10"/>
      <c r="BX277" s="10"/>
      <c r="BY277" s="10"/>
      <c r="BZ277" s="10"/>
      <c r="CA277" s="10"/>
      <c r="CB277" s="10"/>
      <c r="CC277" s="10"/>
      <c r="CD277" s="10"/>
      <c r="CE277" s="10"/>
      <c r="CF277" s="10"/>
      <c r="CG277" s="10"/>
      <c r="CH277" s="10"/>
      <c r="CI277" s="10"/>
      <c r="CJ277" s="10"/>
      <c r="CK277" s="10"/>
      <c r="CL277" s="10"/>
      <c r="CM277" s="10"/>
      <c r="CN277" s="10"/>
      <c r="CO277" s="10"/>
      <c r="CP277" s="10"/>
      <c r="CQ277" s="10"/>
      <c r="CR277" s="10"/>
      <c r="CS277" s="10"/>
      <c r="CT277" s="10"/>
      <c r="CU277" s="10"/>
      <c r="CV277" s="10"/>
      <c r="CW277" s="10"/>
      <c r="CX277" s="10"/>
      <c r="CY277" s="10"/>
      <c r="CZ277" s="10"/>
      <c r="DA277" s="10"/>
      <c r="DB277" s="10"/>
      <c r="DC277" s="10"/>
      <c r="DD277" s="10"/>
      <c r="DE277" s="10"/>
      <c r="DF277" s="10"/>
      <c r="DG277" s="10"/>
      <c r="DH277" s="10"/>
    </row>
    <row r="278" spans="1:112" ht="15.75" customHeight="1" x14ac:dyDescent="0.3">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0"/>
      <c r="BC278" s="10"/>
      <c r="BD278" s="10"/>
      <c r="BE278" s="10"/>
      <c r="BF278" s="10"/>
      <c r="BG278" s="10"/>
      <c r="BH278" s="10"/>
      <c r="BI278" s="10"/>
      <c r="BJ278" s="10"/>
      <c r="BK278" s="10"/>
      <c r="BL278" s="10"/>
      <c r="BM278" s="10"/>
      <c r="BN278" s="10"/>
      <c r="BO278" s="10"/>
      <c r="BP278" s="10"/>
      <c r="BQ278" s="10"/>
      <c r="BR278" s="10"/>
      <c r="BS278" s="10"/>
      <c r="BT278" s="10"/>
      <c r="BU278" s="10"/>
      <c r="BV278" s="10"/>
      <c r="BW278" s="10"/>
      <c r="BX278" s="10"/>
      <c r="BY278" s="10"/>
      <c r="BZ278" s="10"/>
      <c r="CA278" s="10"/>
      <c r="CB278" s="10"/>
      <c r="CC278" s="10"/>
      <c r="CD278" s="10"/>
      <c r="CE278" s="10"/>
      <c r="CF278" s="10"/>
      <c r="CG278" s="10"/>
      <c r="CH278" s="10"/>
      <c r="CI278" s="10"/>
      <c r="CJ278" s="10"/>
      <c r="CK278" s="10"/>
      <c r="CL278" s="10"/>
      <c r="CM278" s="10"/>
      <c r="CN278" s="10"/>
      <c r="CO278" s="10"/>
      <c r="CP278" s="10"/>
      <c r="CQ278" s="10"/>
      <c r="CR278" s="10"/>
      <c r="CS278" s="10"/>
      <c r="CT278" s="10"/>
      <c r="CU278" s="10"/>
      <c r="CV278" s="10"/>
      <c r="CW278" s="10"/>
      <c r="CX278" s="10"/>
      <c r="CY278" s="10"/>
      <c r="CZ278" s="10"/>
      <c r="DA278" s="10"/>
      <c r="DB278" s="10"/>
      <c r="DC278" s="10"/>
      <c r="DD278" s="10"/>
      <c r="DE278" s="10"/>
      <c r="DF278" s="10"/>
      <c r="DG278" s="10"/>
      <c r="DH278" s="10"/>
    </row>
    <row r="279" spans="1:112" ht="15.75" customHeight="1" x14ac:dyDescent="0.3">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0"/>
      <c r="BC279" s="10"/>
      <c r="BD279" s="10"/>
      <c r="BE279" s="10"/>
      <c r="BF279" s="10"/>
      <c r="BG279" s="10"/>
      <c r="BH279" s="10"/>
      <c r="BI279" s="10"/>
      <c r="BJ279" s="10"/>
      <c r="BK279" s="10"/>
      <c r="BL279" s="10"/>
      <c r="BM279" s="10"/>
      <c r="BN279" s="10"/>
      <c r="BO279" s="10"/>
      <c r="BP279" s="10"/>
      <c r="BQ279" s="10"/>
      <c r="BR279" s="10"/>
      <c r="BS279" s="10"/>
      <c r="BT279" s="10"/>
      <c r="BU279" s="10"/>
      <c r="BV279" s="10"/>
      <c r="BW279" s="10"/>
      <c r="BX279" s="10"/>
      <c r="BY279" s="10"/>
      <c r="BZ279" s="10"/>
      <c r="CA279" s="10"/>
      <c r="CB279" s="10"/>
      <c r="CC279" s="10"/>
      <c r="CD279" s="10"/>
      <c r="CE279" s="10"/>
      <c r="CF279" s="10"/>
      <c r="CG279" s="10"/>
      <c r="CH279" s="10"/>
      <c r="CI279" s="10"/>
      <c r="CJ279" s="10"/>
      <c r="CK279" s="10"/>
      <c r="CL279" s="10"/>
      <c r="CM279" s="10"/>
      <c r="CN279" s="10"/>
      <c r="CO279" s="10"/>
      <c r="CP279" s="10"/>
      <c r="CQ279" s="10"/>
      <c r="CR279" s="10"/>
      <c r="CS279" s="10"/>
      <c r="CT279" s="10"/>
      <c r="CU279" s="10"/>
      <c r="CV279" s="10"/>
      <c r="CW279" s="10"/>
      <c r="CX279" s="10"/>
      <c r="CY279" s="10"/>
      <c r="CZ279" s="10"/>
      <c r="DA279" s="10"/>
      <c r="DB279" s="10"/>
      <c r="DC279" s="10"/>
      <c r="DD279" s="10"/>
      <c r="DE279" s="10"/>
      <c r="DF279" s="10"/>
      <c r="DG279" s="10"/>
      <c r="DH279" s="10"/>
    </row>
    <row r="280" spans="1:112" ht="15.75" customHeight="1" x14ac:dyDescent="0.3">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0"/>
      <c r="BC280" s="10"/>
      <c r="BD280" s="10"/>
      <c r="BE280" s="10"/>
      <c r="BF280" s="10"/>
      <c r="BG280" s="10"/>
      <c r="BH280" s="10"/>
      <c r="BI280" s="10"/>
      <c r="BJ280" s="10"/>
      <c r="BK280" s="10"/>
      <c r="BL280" s="10"/>
      <c r="BM280" s="10"/>
      <c r="BN280" s="10"/>
      <c r="BO280" s="10"/>
      <c r="BP280" s="10"/>
      <c r="BQ280" s="10"/>
      <c r="BR280" s="10"/>
      <c r="BS280" s="10"/>
      <c r="BT280" s="10"/>
      <c r="BU280" s="10"/>
      <c r="BV280" s="10"/>
      <c r="BW280" s="10"/>
      <c r="BX280" s="10"/>
      <c r="BY280" s="10"/>
      <c r="BZ280" s="10"/>
      <c r="CA280" s="10"/>
      <c r="CB280" s="10"/>
      <c r="CC280" s="10"/>
      <c r="CD280" s="10"/>
      <c r="CE280" s="10"/>
      <c r="CF280" s="10"/>
      <c r="CG280" s="10"/>
      <c r="CH280" s="10"/>
      <c r="CI280" s="10"/>
      <c r="CJ280" s="10"/>
      <c r="CK280" s="10"/>
      <c r="CL280" s="10"/>
      <c r="CM280" s="10"/>
      <c r="CN280" s="10"/>
      <c r="CO280" s="10"/>
      <c r="CP280" s="10"/>
      <c r="CQ280" s="10"/>
      <c r="CR280" s="10"/>
      <c r="CS280" s="10"/>
      <c r="CT280" s="10"/>
      <c r="CU280" s="10"/>
      <c r="CV280" s="10"/>
      <c r="CW280" s="10"/>
      <c r="CX280" s="10"/>
      <c r="CY280" s="10"/>
      <c r="CZ280" s="10"/>
      <c r="DA280" s="10"/>
      <c r="DB280" s="10"/>
      <c r="DC280" s="10"/>
      <c r="DD280" s="10"/>
      <c r="DE280" s="10"/>
      <c r="DF280" s="10"/>
      <c r="DG280" s="10"/>
      <c r="DH280" s="10"/>
    </row>
    <row r="281" spans="1:112" ht="15.75" customHeight="1" x14ac:dyDescent="0.3">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0"/>
      <c r="BC281" s="10"/>
      <c r="BD281" s="10"/>
      <c r="BE281" s="10"/>
      <c r="BF281" s="10"/>
      <c r="BG281" s="10"/>
      <c r="BH281" s="10"/>
      <c r="BI281" s="10"/>
      <c r="BJ281" s="10"/>
      <c r="BK281" s="10"/>
      <c r="BL281" s="10"/>
      <c r="BM281" s="10"/>
      <c r="BN281" s="10"/>
      <c r="BO281" s="10"/>
      <c r="BP281" s="10"/>
      <c r="BQ281" s="10"/>
      <c r="BR281" s="10"/>
      <c r="BS281" s="10"/>
      <c r="BT281" s="10"/>
      <c r="BU281" s="10"/>
      <c r="BV281" s="10"/>
      <c r="BW281" s="10"/>
      <c r="BX281" s="10"/>
      <c r="BY281" s="10"/>
      <c r="BZ281" s="10"/>
      <c r="CA281" s="10"/>
      <c r="CB281" s="10"/>
      <c r="CC281" s="10"/>
      <c r="CD281" s="10"/>
      <c r="CE281" s="10"/>
      <c r="CF281" s="10"/>
      <c r="CG281" s="10"/>
      <c r="CH281" s="10"/>
      <c r="CI281" s="10"/>
      <c r="CJ281" s="10"/>
      <c r="CK281" s="10"/>
      <c r="CL281" s="10"/>
      <c r="CM281" s="10"/>
      <c r="CN281" s="10"/>
      <c r="CO281" s="10"/>
      <c r="CP281" s="10"/>
      <c r="CQ281" s="10"/>
      <c r="CR281" s="10"/>
      <c r="CS281" s="10"/>
      <c r="CT281" s="10"/>
      <c r="CU281" s="10"/>
      <c r="CV281" s="10"/>
      <c r="CW281" s="10"/>
      <c r="CX281" s="10"/>
      <c r="CY281" s="10"/>
      <c r="CZ281" s="10"/>
      <c r="DA281" s="10"/>
      <c r="DB281" s="10"/>
      <c r="DC281" s="10"/>
      <c r="DD281" s="10"/>
      <c r="DE281" s="10"/>
      <c r="DF281" s="10"/>
      <c r="DG281" s="10"/>
      <c r="DH281" s="10"/>
    </row>
    <row r="282" spans="1:112" ht="15.75" customHeight="1" x14ac:dyDescent="0.3">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0"/>
      <c r="BC282" s="10"/>
      <c r="BD282" s="10"/>
      <c r="BE282" s="10"/>
      <c r="BF282" s="10"/>
      <c r="BG282" s="10"/>
      <c r="BH282" s="10"/>
      <c r="BI282" s="10"/>
      <c r="BJ282" s="10"/>
      <c r="BK282" s="10"/>
      <c r="BL282" s="10"/>
      <c r="BM282" s="10"/>
      <c r="BN282" s="10"/>
      <c r="BO282" s="10"/>
      <c r="BP282" s="10"/>
      <c r="BQ282" s="10"/>
      <c r="BR282" s="10"/>
      <c r="BS282" s="10"/>
      <c r="BT282" s="10"/>
      <c r="BU282" s="10"/>
      <c r="BV282" s="10"/>
      <c r="BW282" s="10"/>
      <c r="BX282" s="10"/>
      <c r="BY282" s="10"/>
      <c r="BZ282" s="10"/>
      <c r="CA282" s="10"/>
      <c r="CB282" s="10"/>
      <c r="CC282" s="10"/>
      <c r="CD282" s="10"/>
      <c r="CE282" s="10"/>
      <c r="CF282" s="10"/>
      <c r="CG282" s="10"/>
      <c r="CH282" s="10"/>
      <c r="CI282" s="10"/>
      <c r="CJ282" s="10"/>
      <c r="CK282" s="10"/>
      <c r="CL282" s="10"/>
      <c r="CM282" s="10"/>
      <c r="CN282" s="10"/>
      <c r="CO282" s="10"/>
      <c r="CP282" s="10"/>
      <c r="CQ282" s="10"/>
      <c r="CR282" s="10"/>
      <c r="CS282" s="10"/>
      <c r="CT282" s="10"/>
      <c r="CU282" s="10"/>
      <c r="CV282" s="10"/>
      <c r="CW282" s="10"/>
      <c r="CX282" s="10"/>
      <c r="CY282" s="10"/>
      <c r="CZ282" s="10"/>
      <c r="DA282" s="10"/>
      <c r="DB282" s="10"/>
      <c r="DC282" s="10"/>
      <c r="DD282" s="10"/>
      <c r="DE282" s="10"/>
      <c r="DF282" s="10"/>
      <c r="DG282" s="10"/>
      <c r="DH282" s="10"/>
    </row>
    <row r="283" spans="1:112" ht="15.75" customHeight="1" x14ac:dyDescent="0.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0"/>
      <c r="BC283" s="10"/>
      <c r="BD283" s="10"/>
      <c r="BE283" s="10"/>
      <c r="BF283" s="10"/>
      <c r="BG283" s="10"/>
      <c r="BH283" s="10"/>
      <c r="BI283" s="10"/>
      <c r="BJ283" s="10"/>
      <c r="BK283" s="10"/>
      <c r="BL283" s="10"/>
      <c r="BM283" s="10"/>
      <c r="BN283" s="10"/>
      <c r="BO283" s="10"/>
      <c r="BP283" s="10"/>
      <c r="BQ283" s="10"/>
      <c r="BR283" s="10"/>
      <c r="BS283" s="10"/>
      <c r="BT283" s="10"/>
      <c r="BU283" s="10"/>
      <c r="BV283" s="10"/>
      <c r="BW283" s="10"/>
      <c r="BX283" s="10"/>
      <c r="BY283" s="10"/>
      <c r="BZ283" s="10"/>
      <c r="CA283" s="10"/>
      <c r="CB283" s="10"/>
      <c r="CC283" s="10"/>
      <c r="CD283" s="10"/>
      <c r="CE283" s="10"/>
      <c r="CF283" s="10"/>
      <c r="CG283" s="10"/>
      <c r="CH283" s="10"/>
      <c r="CI283" s="10"/>
      <c r="CJ283" s="10"/>
      <c r="CK283" s="10"/>
      <c r="CL283" s="10"/>
      <c r="CM283" s="10"/>
      <c r="CN283" s="10"/>
      <c r="CO283" s="10"/>
      <c r="CP283" s="10"/>
      <c r="CQ283" s="10"/>
      <c r="CR283" s="10"/>
      <c r="CS283" s="10"/>
      <c r="CT283" s="10"/>
      <c r="CU283" s="10"/>
      <c r="CV283" s="10"/>
      <c r="CW283" s="10"/>
      <c r="CX283" s="10"/>
      <c r="CY283" s="10"/>
      <c r="CZ283" s="10"/>
      <c r="DA283" s="10"/>
      <c r="DB283" s="10"/>
      <c r="DC283" s="10"/>
      <c r="DD283" s="10"/>
      <c r="DE283" s="10"/>
      <c r="DF283" s="10"/>
      <c r="DG283" s="10"/>
      <c r="DH283" s="10"/>
    </row>
    <row r="284" spans="1:112" ht="15.75" customHeight="1" x14ac:dyDescent="0.3">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0"/>
      <c r="BC284" s="10"/>
      <c r="BD284" s="10"/>
      <c r="BE284" s="10"/>
      <c r="BF284" s="10"/>
      <c r="BG284" s="10"/>
      <c r="BH284" s="10"/>
      <c r="BI284" s="10"/>
      <c r="BJ284" s="10"/>
      <c r="BK284" s="10"/>
      <c r="BL284" s="10"/>
      <c r="BM284" s="10"/>
      <c r="BN284" s="10"/>
      <c r="BO284" s="10"/>
      <c r="BP284" s="10"/>
      <c r="BQ284" s="10"/>
      <c r="BR284" s="10"/>
      <c r="BS284" s="10"/>
      <c r="BT284" s="10"/>
      <c r="BU284" s="10"/>
      <c r="BV284" s="10"/>
      <c r="BW284" s="10"/>
      <c r="BX284" s="10"/>
      <c r="BY284" s="10"/>
      <c r="BZ284" s="10"/>
      <c r="CA284" s="10"/>
      <c r="CB284" s="10"/>
      <c r="CC284" s="10"/>
      <c r="CD284" s="10"/>
      <c r="CE284" s="10"/>
      <c r="CF284" s="10"/>
      <c r="CG284" s="10"/>
      <c r="CH284" s="10"/>
      <c r="CI284" s="10"/>
      <c r="CJ284" s="10"/>
      <c r="CK284" s="10"/>
      <c r="CL284" s="10"/>
      <c r="CM284" s="10"/>
      <c r="CN284" s="10"/>
      <c r="CO284" s="10"/>
      <c r="CP284" s="10"/>
      <c r="CQ284" s="10"/>
      <c r="CR284" s="10"/>
      <c r="CS284" s="10"/>
      <c r="CT284" s="10"/>
      <c r="CU284" s="10"/>
      <c r="CV284" s="10"/>
      <c r="CW284" s="10"/>
      <c r="CX284" s="10"/>
      <c r="CY284" s="10"/>
      <c r="CZ284" s="10"/>
      <c r="DA284" s="10"/>
      <c r="DB284" s="10"/>
      <c r="DC284" s="10"/>
      <c r="DD284" s="10"/>
      <c r="DE284" s="10"/>
      <c r="DF284" s="10"/>
      <c r="DG284" s="10"/>
      <c r="DH284" s="10"/>
    </row>
    <row r="285" spans="1:112" ht="15.75" customHeight="1" x14ac:dyDescent="0.3">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0"/>
      <c r="BC285" s="10"/>
      <c r="BD285" s="10"/>
      <c r="BE285" s="10"/>
      <c r="BF285" s="10"/>
      <c r="BG285" s="10"/>
      <c r="BH285" s="10"/>
      <c r="BI285" s="10"/>
      <c r="BJ285" s="10"/>
      <c r="BK285" s="10"/>
      <c r="BL285" s="10"/>
      <c r="BM285" s="10"/>
      <c r="BN285" s="10"/>
      <c r="BO285" s="10"/>
      <c r="BP285" s="10"/>
      <c r="BQ285" s="10"/>
      <c r="BR285" s="10"/>
      <c r="BS285" s="10"/>
      <c r="BT285" s="10"/>
      <c r="BU285" s="10"/>
      <c r="BV285" s="10"/>
      <c r="BW285" s="10"/>
      <c r="BX285" s="10"/>
      <c r="BY285" s="10"/>
      <c r="BZ285" s="10"/>
      <c r="CA285" s="10"/>
      <c r="CB285" s="10"/>
      <c r="CC285" s="10"/>
      <c r="CD285" s="10"/>
      <c r="CE285" s="10"/>
      <c r="CF285" s="10"/>
      <c r="CG285" s="10"/>
      <c r="CH285" s="10"/>
      <c r="CI285" s="10"/>
      <c r="CJ285" s="10"/>
      <c r="CK285" s="10"/>
      <c r="CL285" s="10"/>
      <c r="CM285" s="10"/>
      <c r="CN285" s="10"/>
      <c r="CO285" s="10"/>
      <c r="CP285" s="10"/>
      <c r="CQ285" s="10"/>
      <c r="CR285" s="10"/>
      <c r="CS285" s="10"/>
      <c r="CT285" s="10"/>
      <c r="CU285" s="10"/>
      <c r="CV285" s="10"/>
      <c r="CW285" s="10"/>
      <c r="CX285" s="10"/>
      <c r="CY285" s="10"/>
      <c r="CZ285" s="10"/>
      <c r="DA285" s="10"/>
      <c r="DB285" s="10"/>
      <c r="DC285" s="10"/>
      <c r="DD285" s="10"/>
      <c r="DE285" s="10"/>
      <c r="DF285" s="10"/>
      <c r="DG285" s="10"/>
      <c r="DH285" s="10"/>
    </row>
    <row r="286" spans="1:112" ht="15.75" customHeight="1" x14ac:dyDescent="0.3">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0"/>
      <c r="BC286" s="10"/>
      <c r="BD286" s="10"/>
      <c r="BE286" s="10"/>
      <c r="BF286" s="10"/>
      <c r="BG286" s="10"/>
      <c r="BH286" s="10"/>
      <c r="BI286" s="10"/>
      <c r="BJ286" s="10"/>
      <c r="BK286" s="10"/>
      <c r="BL286" s="10"/>
      <c r="BM286" s="10"/>
      <c r="BN286" s="10"/>
      <c r="BO286" s="10"/>
      <c r="BP286" s="10"/>
      <c r="BQ286" s="10"/>
      <c r="BR286" s="10"/>
      <c r="BS286" s="10"/>
      <c r="BT286" s="10"/>
      <c r="BU286" s="10"/>
      <c r="BV286" s="10"/>
      <c r="BW286" s="10"/>
      <c r="BX286" s="10"/>
      <c r="BY286" s="10"/>
      <c r="BZ286" s="10"/>
      <c r="CA286" s="10"/>
      <c r="CB286" s="10"/>
      <c r="CC286" s="10"/>
      <c r="CD286" s="10"/>
      <c r="CE286" s="10"/>
      <c r="CF286" s="10"/>
      <c r="CG286" s="10"/>
      <c r="CH286" s="10"/>
      <c r="CI286" s="10"/>
      <c r="CJ286" s="10"/>
      <c r="CK286" s="10"/>
      <c r="CL286" s="10"/>
      <c r="CM286" s="10"/>
      <c r="CN286" s="10"/>
      <c r="CO286" s="10"/>
      <c r="CP286" s="10"/>
      <c r="CQ286" s="10"/>
      <c r="CR286" s="10"/>
      <c r="CS286" s="10"/>
      <c r="CT286" s="10"/>
      <c r="CU286" s="10"/>
      <c r="CV286" s="10"/>
      <c r="CW286" s="10"/>
      <c r="CX286" s="10"/>
      <c r="CY286" s="10"/>
      <c r="CZ286" s="10"/>
      <c r="DA286" s="10"/>
      <c r="DB286" s="10"/>
      <c r="DC286" s="10"/>
      <c r="DD286" s="10"/>
      <c r="DE286" s="10"/>
      <c r="DF286" s="10"/>
      <c r="DG286" s="10"/>
      <c r="DH286" s="10"/>
    </row>
    <row r="287" spans="1:112" ht="15.75" customHeight="1" x14ac:dyDescent="0.3">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0"/>
      <c r="BC287" s="10"/>
      <c r="BD287" s="10"/>
      <c r="BE287" s="10"/>
      <c r="BF287" s="10"/>
      <c r="BG287" s="10"/>
      <c r="BH287" s="10"/>
      <c r="BI287" s="10"/>
      <c r="BJ287" s="10"/>
      <c r="BK287" s="10"/>
      <c r="BL287" s="10"/>
      <c r="BM287" s="10"/>
      <c r="BN287" s="10"/>
      <c r="BO287" s="10"/>
      <c r="BP287" s="10"/>
      <c r="BQ287" s="10"/>
      <c r="BR287" s="10"/>
      <c r="BS287" s="10"/>
      <c r="BT287" s="10"/>
      <c r="BU287" s="10"/>
      <c r="BV287" s="10"/>
      <c r="BW287" s="10"/>
      <c r="BX287" s="10"/>
      <c r="BY287" s="10"/>
      <c r="BZ287" s="10"/>
      <c r="CA287" s="10"/>
      <c r="CB287" s="10"/>
      <c r="CC287" s="10"/>
      <c r="CD287" s="10"/>
      <c r="CE287" s="10"/>
      <c r="CF287" s="10"/>
      <c r="CG287" s="10"/>
      <c r="CH287" s="10"/>
      <c r="CI287" s="10"/>
      <c r="CJ287" s="10"/>
      <c r="CK287" s="10"/>
      <c r="CL287" s="10"/>
      <c r="CM287" s="10"/>
      <c r="CN287" s="10"/>
      <c r="CO287" s="10"/>
      <c r="CP287" s="10"/>
      <c r="CQ287" s="10"/>
      <c r="CR287" s="10"/>
      <c r="CS287" s="10"/>
      <c r="CT287" s="10"/>
      <c r="CU287" s="10"/>
      <c r="CV287" s="10"/>
      <c r="CW287" s="10"/>
      <c r="CX287" s="10"/>
      <c r="CY287" s="10"/>
      <c r="CZ287" s="10"/>
      <c r="DA287" s="10"/>
      <c r="DB287" s="10"/>
      <c r="DC287" s="10"/>
      <c r="DD287" s="10"/>
      <c r="DE287" s="10"/>
      <c r="DF287" s="10"/>
      <c r="DG287" s="10"/>
      <c r="DH287" s="10"/>
    </row>
    <row r="288" spans="1:112" ht="15.75" customHeight="1" x14ac:dyDescent="0.3">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0"/>
      <c r="BC288" s="10"/>
      <c r="BD288" s="10"/>
      <c r="BE288" s="10"/>
      <c r="BF288" s="10"/>
      <c r="BG288" s="10"/>
      <c r="BH288" s="10"/>
      <c r="BI288" s="10"/>
      <c r="BJ288" s="10"/>
      <c r="BK288" s="10"/>
      <c r="BL288" s="10"/>
      <c r="BM288" s="10"/>
      <c r="BN288" s="10"/>
      <c r="BO288" s="10"/>
      <c r="BP288" s="10"/>
      <c r="BQ288" s="10"/>
      <c r="BR288" s="10"/>
      <c r="BS288" s="10"/>
      <c r="BT288" s="10"/>
      <c r="BU288" s="10"/>
      <c r="BV288" s="10"/>
      <c r="BW288" s="10"/>
      <c r="BX288" s="10"/>
      <c r="BY288" s="10"/>
      <c r="BZ288" s="10"/>
      <c r="CA288" s="10"/>
      <c r="CB288" s="10"/>
      <c r="CC288" s="10"/>
      <c r="CD288" s="10"/>
      <c r="CE288" s="10"/>
      <c r="CF288" s="10"/>
      <c r="CG288" s="10"/>
      <c r="CH288" s="10"/>
      <c r="CI288" s="10"/>
      <c r="CJ288" s="10"/>
      <c r="CK288" s="10"/>
      <c r="CL288" s="10"/>
      <c r="CM288" s="10"/>
      <c r="CN288" s="10"/>
      <c r="CO288" s="10"/>
      <c r="CP288" s="10"/>
      <c r="CQ288" s="10"/>
      <c r="CR288" s="10"/>
      <c r="CS288" s="10"/>
      <c r="CT288" s="10"/>
      <c r="CU288" s="10"/>
      <c r="CV288" s="10"/>
      <c r="CW288" s="10"/>
      <c r="CX288" s="10"/>
      <c r="CY288" s="10"/>
      <c r="CZ288" s="10"/>
      <c r="DA288" s="10"/>
      <c r="DB288" s="10"/>
      <c r="DC288" s="10"/>
      <c r="DD288" s="10"/>
      <c r="DE288" s="10"/>
      <c r="DF288" s="10"/>
      <c r="DG288" s="10"/>
      <c r="DH288" s="10"/>
    </row>
    <row r="289" spans="1:112" ht="15.75" customHeight="1" x14ac:dyDescent="0.3">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0"/>
      <c r="BC289" s="10"/>
      <c r="BD289" s="10"/>
      <c r="BE289" s="10"/>
      <c r="BF289" s="10"/>
      <c r="BG289" s="10"/>
      <c r="BH289" s="10"/>
      <c r="BI289" s="10"/>
      <c r="BJ289" s="10"/>
      <c r="BK289" s="10"/>
      <c r="BL289" s="10"/>
      <c r="BM289" s="10"/>
      <c r="BN289" s="10"/>
      <c r="BO289" s="10"/>
      <c r="BP289" s="10"/>
      <c r="BQ289" s="10"/>
      <c r="BR289" s="10"/>
      <c r="BS289" s="10"/>
      <c r="BT289" s="10"/>
      <c r="BU289" s="10"/>
      <c r="BV289" s="10"/>
      <c r="BW289" s="10"/>
      <c r="BX289" s="10"/>
      <c r="BY289" s="10"/>
      <c r="BZ289" s="10"/>
      <c r="CA289" s="10"/>
      <c r="CB289" s="10"/>
      <c r="CC289" s="10"/>
      <c r="CD289" s="10"/>
      <c r="CE289" s="10"/>
      <c r="CF289" s="10"/>
      <c r="CG289" s="10"/>
      <c r="CH289" s="10"/>
      <c r="CI289" s="10"/>
      <c r="CJ289" s="10"/>
      <c r="CK289" s="10"/>
      <c r="CL289" s="10"/>
      <c r="CM289" s="10"/>
      <c r="CN289" s="10"/>
      <c r="CO289" s="10"/>
      <c r="CP289" s="10"/>
      <c r="CQ289" s="10"/>
      <c r="CR289" s="10"/>
      <c r="CS289" s="10"/>
      <c r="CT289" s="10"/>
      <c r="CU289" s="10"/>
      <c r="CV289" s="10"/>
      <c r="CW289" s="10"/>
      <c r="CX289" s="10"/>
      <c r="CY289" s="10"/>
      <c r="CZ289" s="10"/>
      <c r="DA289" s="10"/>
      <c r="DB289" s="10"/>
      <c r="DC289" s="10"/>
      <c r="DD289" s="10"/>
      <c r="DE289" s="10"/>
      <c r="DF289" s="10"/>
      <c r="DG289" s="10"/>
      <c r="DH289" s="10"/>
    </row>
    <row r="290" spans="1:112" ht="15.75" customHeight="1" x14ac:dyDescent="0.3">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0"/>
      <c r="BC290" s="10"/>
      <c r="BD290" s="10"/>
      <c r="BE290" s="10"/>
      <c r="BF290" s="10"/>
      <c r="BG290" s="10"/>
      <c r="BH290" s="10"/>
      <c r="BI290" s="10"/>
      <c r="BJ290" s="10"/>
      <c r="BK290" s="10"/>
      <c r="BL290" s="10"/>
      <c r="BM290" s="10"/>
      <c r="BN290" s="10"/>
      <c r="BO290" s="10"/>
      <c r="BP290" s="10"/>
      <c r="BQ290" s="10"/>
      <c r="BR290" s="10"/>
      <c r="BS290" s="10"/>
      <c r="BT290" s="10"/>
      <c r="BU290" s="10"/>
      <c r="BV290" s="10"/>
      <c r="BW290" s="10"/>
      <c r="BX290" s="10"/>
      <c r="BY290" s="10"/>
      <c r="BZ290" s="10"/>
      <c r="CA290" s="10"/>
      <c r="CB290" s="10"/>
      <c r="CC290" s="10"/>
      <c r="CD290" s="10"/>
      <c r="CE290" s="10"/>
      <c r="CF290" s="10"/>
      <c r="CG290" s="10"/>
      <c r="CH290" s="10"/>
      <c r="CI290" s="10"/>
      <c r="CJ290" s="10"/>
      <c r="CK290" s="10"/>
      <c r="CL290" s="10"/>
      <c r="CM290" s="10"/>
      <c r="CN290" s="10"/>
      <c r="CO290" s="10"/>
      <c r="CP290" s="10"/>
      <c r="CQ290" s="10"/>
      <c r="CR290" s="10"/>
      <c r="CS290" s="10"/>
      <c r="CT290" s="10"/>
      <c r="CU290" s="10"/>
      <c r="CV290" s="10"/>
      <c r="CW290" s="10"/>
      <c r="CX290" s="10"/>
      <c r="CY290" s="10"/>
      <c r="CZ290" s="10"/>
      <c r="DA290" s="10"/>
      <c r="DB290" s="10"/>
      <c r="DC290" s="10"/>
      <c r="DD290" s="10"/>
      <c r="DE290" s="10"/>
      <c r="DF290" s="10"/>
      <c r="DG290" s="10"/>
      <c r="DH290" s="10"/>
    </row>
    <row r="291" spans="1:112" ht="15.75" customHeight="1" x14ac:dyDescent="0.3">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0"/>
      <c r="BC291" s="10"/>
      <c r="BD291" s="10"/>
      <c r="BE291" s="10"/>
      <c r="BF291" s="10"/>
      <c r="BG291" s="10"/>
      <c r="BH291" s="10"/>
      <c r="BI291" s="10"/>
      <c r="BJ291" s="10"/>
      <c r="BK291" s="10"/>
      <c r="BL291" s="10"/>
      <c r="BM291" s="10"/>
      <c r="BN291" s="10"/>
      <c r="BO291" s="10"/>
      <c r="BP291" s="10"/>
      <c r="BQ291" s="10"/>
      <c r="BR291" s="10"/>
      <c r="BS291" s="10"/>
      <c r="BT291" s="10"/>
      <c r="BU291" s="10"/>
      <c r="BV291" s="10"/>
      <c r="BW291" s="10"/>
      <c r="BX291" s="10"/>
      <c r="BY291" s="10"/>
      <c r="BZ291" s="10"/>
      <c r="CA291" s="10"/>
      <c r="CB291" s="10"/>
      <c r="CC291" s="10"/>
      <c r="CD291" s="10"/>
      <c r="CE291" s="10"/>
      <c r="CF291" s="10"/>
      <c r="CG291" s="10"/>
      <c r="CH291" s="10"/>
      <c r="CI291" s="10"/>
      <c r="CJ291" s="10"/>
      <c r="CK291" s="10"/>
      <c r="CL291" s="10"/>
      <c r="CM291" s="10"/>
      <c r="CN291" s="10"/>
      <c r="CO291" s="10"/>
      <c r="CP291" s="10"/>
      <c r="CQ291" s="10"/>
      <c r="CR291" s="10"/>
      <c r="CS291" s="10"/>
      <c r="CT291" s="10"/>
      <c r="CU291" s="10"/>
      <c r="CV291" s="10"/>
      <c r="CW291" s="10"/>
      <c r="CX291" s="10"/>
      <c r="CY291" s="10"/>
      <c r="CZ291" s="10"/>
      <c r="DA291" s="10"/>
      <c r="DB291" s="10"/>
      <c r="DC291" s="10"/>
      <c r="DD291" s="10"/>
      <c r="DE291" s="10"/>
      <c r="DF291" s="10"/>
      <c r="DG291" s="10"/>
      <c r="DH291" s="10"/>
    </row>
    <row r="292" spans="1:112" ht="15.75" customHeight="1" x14ac:dyDescent="0.3">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0"/>
      <c r="BC292" s="10"/>
      <c r="BD292" s="10"/>
      <c r="BE292" s="10"/>
      <c r="BF292" s="10"/>
      <c r="BG292" s="10"/>
      <c r="BH292" s="10"/>
      <c r="BI292" s="10"/>
      <c r="BJ292" s="10"/>
      <c r="BK292" s="10"/>
      <c r="BL292" s="10"/>
      <c r="BM292" s="10"/>
      <c r="BN292" s="10"/>
      <c r="BO292" s="10"/>
      <c r="BP292" s="10"/>
      <c r="BQ292" s="10"/>
      <c r="BR292" s="10"/>
      <c r="BS292" s="10"/>
      <c r="BT292" s="10"/>
      <c r="BU292" s="10"/>
      <c r="BV292" s="10"/>
      <c r="BW292" s="10"/>
      <c r="BX292" s="10"/>
      <c r="BY292" s="10"/>
      <c r="BZ292" s="10"/>
      <c r="CA292" s="10"/>
      <c r="CB292" s="10"/>
      <c r="CC292" s="10"/>
      <c r="CD292" s="10"/>
      <c r="CE292" s="10"/>
      <c r="CF292" s="10"/>
      <c r="CG292" s="10"/>
      <c r="CH292" s="10"/>
      <c r="CI292" s="10"/>
      <c r="CJ292" s="10"/>
      <c r="CK292" s="10"/>
      <c r="CL292" s="10"/>
      <c r="CM292" s="10"/>
      <c r="CN292" s="10"/>
      <c r="CO292" s="10"/>
      <c r="CP292" s="10"/>
      <c r="CQ292" s="10"/>
      <c r="CR292" s="10"/>
      <c r="CS292" s="10"/>
      <c r="CT292" s="10"/>
      <c r="CU292" s="10"/>
      <c r="CV292" s="10"/>
      <c r="CW292" s="10"/>
      <c r="CX292" s="10"/>
      <c r="CY292" s="10"/>
      <c r="CZ292" s="10"/>
      <c r="DA292" s="10"/>
      <c r="DB292" s="10"/>
      <c r="DC292" s="10"/>
      <c r="DD292" s="10"/>
      <c r="DE292" s="10"/>
      <c r="DF292" s="10"/>
      <c r="DG292" s="10"/>
      <c r="DH292" s="10"/>
    </row>
    <row r="293" spans="1:112" ht="15.75" customHeight="1" x14ac:dyDescent="0.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0"/>
      <c r="BC293" s="10"/>
      <c r="BD293" s="10"/>
      <c r="BE293" s="10"/>
      <c r="BF293" s="10"/>
      <c r="BG293" s="10"/>
      <c r="BH293" s="10"/>
      <c r="BI293" s="10"/>
      <c r="BJ293" s="10"/>
      <c r="BK293" s="10"/>
      <c r="BL293" s="10"/>
      <c r="BM293" s="10"/>
      <c r="BN293" s="10"/>
      <c r="BO293" s="10"/>
      <c r="BP293" s="10"/>
      <c r="BQ293" s="10"/>
      <c r="BR293" s="10"/>
      <c r="BS293" s="10"/>
      <c r="BT293" s="10"/>
      <c r="BU293" s="10"/>
      <c r="BV293" s="10"/>
      <c r="BW293" s="10"/>
      <c r="BX293" s="10"/>
      <c r="BY293" s="10"/>
      <c r="BZ293" s="10"/>
      <c r="CA293" s="10"/>
      <c r="CB293" s="10"/>
      <c r="CC293" s="10"/>
      <c r="CD293" s="10"/>
      <c r="CE293" s="10"/>
      <c r="CF293" s="10"/>
      <c r="CG293" s="10"/>
      <c r="CH293" s="10"/>
      <c r="CI293" s="10"/>
      <c r="CJ293" s="10"/>
      <c r="CK293" s="10"/>
      <c r="CL293" s="10"/>
      <c r="CM293" s="10"/>
      <c r="CN293" s="10"/>
      <c r="CO293" s="10"/>
      <c r="CP293" s="10"/>
      <c r="CQ293" s="10"/>
      <c r="CR293" s="10"/>
      <c r="CS293" s="10"/>
      <c r="CT293" s="10"/>
      <c r="CU293" s="10"/>
      <c r="CV293" s="10"/>
      <c r="CW293" s="10"/>
      <c r="CX293" s="10"/>
      <c r="CY293" s="10"/>
      <c r="CZ293" s="10"/>
      <c r="DA293" s="10"/>
      <c r="DB293" s="10"/>
      <c r="DC293" s="10"/>
      <c r="DD293" s="10"/>
      <c r="DE293" s="10"/>
      <c r="DF293" s="10"/>
      <c r="DG293" s="10"/>
      <c r="DH293" s="10"/>
    </row>
    <row r="294" spans="1:112" ht="15.75" customHeight="1" x14ac:dyDescent="0.3">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0"/>
      <c r="BC294" s="10"/>
      <c r="BD294" s="10"/>
      <c r="BE294" s="10"/>
      <c r="BF294" s="10"/>
      <c r="BG294" s="10"/>
      <c r="BH294" s="10"/>
      <c r="BI294" s="10"/>
      <c r="BJ294" s="10"/>
      <c r="BK294" s="10"/>
      <c r="BL294" s="10"/>
      <c r="BM294" s="10"/>
      <c r="BN294" s="10"/>
      <c r="BO294" s="10"/>
      <c r="BP294" s="10"/>
      <c r="BQ294" s="10"/>
      <c r="BR294" s="10"/>
      <c r="BS294" s="10"/>
      <c r="BT294" s="10"/>
      <c r="BU294" s="10"/>
      <c r="BV294" s="10"/>
      <c r="BW294" s="10"/>
      <c r="BX294" s="10"/>
      <c r="BY294" s="10"/>
      <c r="BZ294" s="10"/>
      <c r="CA294" s="10"/>
      <c r="CB294" s="10"/>
      <c r="CC294" s="10"/>
      <c r="CD294" s="10"/>
      <c r="CE294" s="10"/>
      <c r="CF294" s="10"/>
      <c r="CG294" s="10"/>
      <c r="CH294" s="10"/>
      <c r="CI294" s="10"/>
      <c r="CJ294" s="10"/>
      <c r="CK294" s="10"/>
      <c r="CL294" s="10"/>
      <c r="CM294" s="10"/>
      <c r="CN294" s="10"/>
      <c r="CO294" s="10"/>
      <c r="CP294" s="10"/>
      <c r="CQ294" s="10"/>
      <c r="CR294" s="10"/>
      <c r="CS294" s="10"/>
      <c r="CT294" s="10"/>
      <c r="CU294" s="10"/>
      <c r="CV294" s="10"/>
      <c r="CW294" s="10"/>
      <c r="CX294" s="10"/>
      <c r="CY294" s="10"/>
      <c r="CZ294" s="10"/>
      <c r="DA294" s="10"/>
      <c r="DB294" s="10"/>
      <c r="DC294" s="10"/>
      <c r="DD294" s="10"/>
      <c r="DE294" s="10"/>
      <c r="DF294" s="10"/>
      <c r="DG294" s="10"/>
      <c r="DH294" s="10"/>
    </row>
    <row r="295" spans="1:112" ht="15.75" customHeight="1" x14ac:dyDescent="0.3">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0"/>
      <c r="BC295" s="10"/>
      <c r="BD295" s="10"/>
      <c r="BE295" s="10"/>
      <c r="BF295" s="10"/>
      <c r="BG295" s="10"/>
      <c r="BH295" s="10"/>
      <c r="BI295" s="10"/>
      <c r="BJ295" s="10"/>
      <c r="BK295" s="10"/>
      <c r="BL295" s="10"/>
      <c r="BM295" s="10"/>
      <c r="BN295" s="10"/>
      <c r="BO295" s="10"/>
      <c r="BP295" s="10"/>
      <c r="BQ295" s="10"/>
      <c r="BR295" s="10"/>
      <c r="BS295" s="10"/>
      <c r="BT295" s="10"/>
      <c r="BU295" s="10"/>
      <c r="BV295" s="10"/>
      <c r="BW295" s="10"/>
      <c r="BX295" s="10"/>
      <c r="BY295" s="10"/>
      <c r="BZ295" s="10"/>
      <c r="CA295" s="10"/>
      <c r="CB295" s="10"/>
      <c r="CC295" s="10"/>
      <c r="CD295" s="10"/>
      <c r="CE295" s="10"/>
      <c r="CF295" s="10"/>
      <c r="CG295" s="10"/>
      <c r="CH295" s="10"/>
      <c r="CI295" s="10"/>
      <c r="CJ295" s="10"/>
      <c r="CK295" s="10"/>
      <c r="CL295" s="10"/>
      <c r="CM295" s="10"/>
      <c r="CN295" s="10"/>
      <c r="CO295" s="10"/>
      <c r="CP295" s="10"/>
      <c r="CQ295" s="10"/>
      <c r="CR295" s="10"/>
      <c r="CS295" s="10"/>
      <c r="CT295" s="10"/>
      <c r="CU295" s="10"/>
      <c r="CV295" s="10"/>
      <c r="CW295" s="10"/>
      <c r="CX295" s="10"/>
      <c r="CY295" s="10"/>
      <c r="CZ295" s="10"/>
      <c r="DA295" s="10"/>
      <c r="DB295" s="10"/>
      <c r="DC295" s="10"/>
      <c r="DD295" s="10"/>
      <c r="DE295" s="10"/>
      <c r="DF295" s="10"/>
      <c r="DG295" s="10"/>
      <c r="DH295" s="10"/>
    </row>
    <row r="296" spans="1:112" ht="15.75" customHeight="1" x14ac:dyDescent="0.3">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0"/>
      <c r="BC296" s="10"/>
      <c r="BD296" s="10"/>
      <c r="BE296" s="10"/>
      <c r="BF296" s="10"/>
      <c r="BG296" s="10"/>
      <c r="BH296" s="10"/>
      <c r="BI296" s="10"/>
      <c r="BJ296" s="10"/>
      <c r="BK296" s="10"/>
      <c r="BL296" s="10"/>
      <c r="BM296" s="10"/>
      <c r="BN296" s="10"/>
      <c r="BO296" s="10"/>
      <c r="BP296" s="10"/>
      <c r="BQ296" s="10"/>
      <c r="BR296" s="10"/>
      <c r="BS296" s="10"/>
      <c r="BT296" s="10"/>
      <c r="BU296" s="10"/>
      <c r="BV296" s="10"/>
      <c r="BW296" s="10"/>
      <c r="BX296" s="10"/>
      <c r="BY296" s="10"/>
      <c r="BZ296" s="10"/>
      <c r="CA296" s="10"/>
      <c r="CB296" s="10"/>
      <c r="CC296" s="10"/>
      <c r="CD296" s="10"/>
      <c r="CE296" s="10"/>
      <c r="CF296" s="10"/>
      <c r="CG296" s="10"/>
      <c r="CH296" s="10"/>
      <c r="CI296" s="10"/>
      <c r="CJ296" s="10"/>
      <c r="CK296" s="10"/>
      <c r="CL296" s="10"/>
      <c r="CM296" s="10"/>
      <c r="CN296" s="10"/>
      <c r="CO296" s="10"/>
      <c r="CP296" s="10"/>
      <c r="CQ296" s="10"/>
      <c r="CR296" s="10"/>
      <c r="CS296" s="10"/>
      <c r="CT296" s="10"/>
      <c r="CU296" s="10"/>
      <c r="CV296" s="10"/>
      <c r="CW296" s="10"/>
      <c r="CX296" s="10"/>
      <c r="CY296" s="10"/>
      <c r="CZ296" s="10"/>
      <c r="DA296" s="10"/>
      <c r="DB296" s="10"/>
      <c r="DC296" s="10"/>
      <c r="DD296" s="10"/>
      <c r="DE296" s="10"/>
      <c r="DF296" s="10"/>
      <c r="DG296" s="10"/>
      <c r="DH296" s="10"/>
    </row>
    <row r="297" spans="1:112" ht="15.75" customHeight="1" x14ac:dyDescent="0.3">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0"/>
      <c r="BC297" s="10"/>
      <c r="BD297" s="10"/>
      <c r="BE297" s="10"/>
      <c r="BF297" s="10"/>
      <c r="BG297" s="10"/>
      <c r="BH297" s="10"/>
      <c r="BI297" s="10"/>
      <c r="BJ297" s="10"/>
      <c r="BK297" s="10"/>
      <c r="BL297" s="10"/>
      <c r="BM297" s="10"/>
      <c r="BN297" s="10"/>
      <c r="BO297" s="10"/>
      <c r="BP297" s="10"/>
      <c r="BQ297" s="10"/>
      <c r="BR297" s="10"/>
      <c r="BS297" s="10"/>
      <c r="BT297" s="10"/>
      <c r="BU297" s="10"/>
      <c r="BV297" s="10"/>
      <c r="BW297" s="10"/>
      <c r="BX297" s="10"/>
      <c r="BY297" s="10"/>
      <c r="BZ297" s="10"/>
      <c r="CA297" s="10"/>
      <c r="CB297" s="10"/>
      <c r="CC297" s="10"/>
      <c r="CD297" s="10"/>
      <c r="CE297" s="10"/>
      <c r="CF297" s="10"/>
      <c r="CG297" s="10"/>
      <c r="CH297" s="10"/>
      <c r="CI297" s="10"/>
      <c r="CJ297" s="10"/>
      <c r="CK297" s="10"/>
      <c r="CL297" s="10"/>
      <c r="CM297" s="10"/>
      <c r="CN297" s="10"/>
      <c r="CO297" s="10"/>
      <c r="CP297" s="10"/>
      <c r="CQ297" s="10"/>
      <c r="CR297" s="10"/>
      <c r="CS297" s="10"/>
      <c r="CT297" s="10"/>
      <c r="CU297" s="10"/>
      <c r="CV297" s="10"/>
      <c r="CW297" s="10"/>
      <c r="CX297" s="10"/>
      <c r="CY297" s="10"/>
      <c r="CZ297" s="10"/>
      <c r="DA297" s="10"/>
      <c r="DB297" s="10"/>
      <c r="DC297" s="10"/>
      <c r="DD297" s="10"/>
      <c r="DE297" s="10"/>
      <c r="DF297" s="10"/>
      <c r="DG297" s="10"/>
      <c r="DH297" s="10"/>
    </row>
    <row r="298" spans="1:112" ht="15.75" customHeight="1" x14ac:dyDescent="0.3">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0"/>
      <c r="BC298" s="10"/>
      <c r="BD298" s="10"/>
      <c r="BE298" s="10"/>
      <c r="BF298" s="10"/>
      <c r="BG298" s="10"/>
      <c r="BH298" s="10"/>
      <c r="BI298" s="10"/>
      <c r="BJ298" s="10"/>
      <c r="BK298" s="10"/>
      <c r="BL298" s="10"/>
      <c r="BM298" s="10"/>
      <c r="BN298" s="10"/>
      <c r="BO298" s="10"/>
      <c r="BP298" s="10"/>
      <c r="BQ298" s="10"/>
      <c r="BR298" s="10"/>
      <c r="BS298" s="10"/>
      <c r="BT298" s="10"/>
      <c r="BU298" s="10"/>
      <c r="BV298" s="10"/>
      <c r="BW298" s="10"/>
      <c r="BX298" s="10"/>
      <c r="BY298" s="10"/>
      <c r="BZ298" s="10"/>
      <c r="CA298" s="10"/>
      <c r="CB298" s="10"/>
      <c r="CC298" s="10"/>
      <c r="CD298" s="10"/>
      <c r="CE298" s="10"/>
      <c r="CF298" s="10"/>
      <c r="CG298" s="10"/>
      <c r="CH298" s="10"/>
      <c r="CI298" s="10"/>
      <c r="CJ298" s="10"/>
      <c r="CK298" s="10"/>
      <c r="CL298" s="10"/>
      <c r="CM298" s="10"/>
      <c r="CN298" s="10"/>
      <c r="CO298" s="10"/>
      <c r="CP298" s="10"/>
      <c r="CQ298" s="10"/>
      <c r="CR298" s="10"/>
      <c r="CS298" s="10"/>
      <c r="CT298" s="10"/>
      <c r="CU298" s="10"/>
      <c r="CV298" s="10"/>
      <c r="CW298" s="10"/>
      <c r="CX298" s="10"/>
      <c r="CY298" s="10"/>
      <c r="CZ298" s="10"/>
      <c r="DA298" s="10"/>
      <c r="DB298" s="10"/>
      <c r="DC298" s="10"/>
      <c r="DD298" s="10"/>
      <c r="DE298" s="10"/>
      <c r="DF298" s="10"/>
      <c r="DG298" s="10"/>
      <c r="DH298" s="10"/>
    </row>
    <row r="299" spans="1:112" ht="15.75" customHeight="1" x14ac:dyDescent="0.3">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0"/>
      <c r="BC299" s="10"/>
      <c r="BD299" s="10"/>
      <c r="BE299" s="10"/>
      <c r="BF299" s="10"/>
      <c r="BG299" s="10"/>
      <c r="BH299" s="10"/>
      <c r="BI299" s="10"/>
      <c r="BJ299" s="10"/>
      <c r="BK299" s="10"/>
      <c r="BL299" s="10"/>
      <c r="BM299" s="10"/>
      <c r="BN299" s="10"/>
      <c r="BO299" s="10"/>
      <c r="BP299" s="10"/>
      <c r="BQ299" s="10"/>
      <c r="BR299" s="10"/>
      <c r="BS299" s="10"/>
      <c r="BT299" s="10"/>
      <c r="BU299" s="10"/>
      <c r="BV299" s="10"/>
      <c r="BW299" s="10"/>
      <c r="BX299" s="10"/>
      <c r="BY299" s="10"/>
      <c r="BZ299" s="10"/>
      <c r="CA299" s="10"/>
      <c r="CB299" s="10"/>
      <c r="CC299" s="10"/>
      <c r="CD299" s="10"/>
      <c r="CE299" s="10"/>
      <c r="CF299" s="10"/>
      <c r="CG299" s="10"/>
      <c r="CH299" s="10"/>
      <c r="CI299" s="10"/>
      <c r="CJ299" s="10"/>
      <c r="CK299" s="10"/>
      <c r="CL299" s="10"/>
      <c r="CM299" s="10"/>
      <c r="CN299" s="10"/>
      <c r="CO299" s="10"/>
      <c r="CP299" s="10"/>
      <c r="CQ299" s="10"/>
      <c r="CR299" s="10"/>
      <c r="CS299" s="10"/>
      <c r="CT299" s="10"/>
      <c r="CU299" s="10"/>
      <c r="CV299" s="10"/>
      <c r="CW299" s="10"/>
      <c r="CX299" s="10"/>
      <c r="CY299" s="10"/>
      <c r="CZ299" s="10"/>
      <c r="DA299" s="10"/>
      <c r="DB299" s="10"/>
      <c r="DC299" s="10"/>
      <c r="DD299" s="10"/>
      <c r="DE299" s="10"/>
      <c r="DF299" s="10"/>
      <c r="DG299" s="10"/>
      <c r="DH299" s="10"/>
    </row>
    <row r="300" spans="1:112" ht="15.75" customHeight="1" x14ac:dyDescent="0.3">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0"/>
      <c r="BC300" s="10"/>
      <c r="BD300" s="10"/>
      <c r="BE300" s="10"/>
      <c r="BF300" s="10"/>
      <c r="BG300" s="10"/>
      <c r="BH300" s="10"/>
      <c r="BI300" s="10"/>
      <c r="BJ300" s="10"/>
      <c r="BK300" s="10"/>
      <c r="BL300" s="10"/>
      <c r="BM300" s="10"/>
      <c r="BN300" s="10"/>
      <c r="BO300" s="10"/>
      <c r="BP300" s="10"/>
      <c r="BQ300" s="10"/>
      <c r="BR300" s="10"/>
      <c r="BS300" s="10"/>
      <c r="BT300" s="10"/>
      <c r="BU300" s="10"/>
      <c r="BV300" s="10"/>
      <c r="BW300" s="10"/>
      <c r="BX300" s="10"/>
      <c r="BY300" s="10"/>
      <c r="BZ300" s="10"/>
      <c r="CA300" s="10"/>
      <c r="CB300" s="10"/>
      <c r="CC300" s="10"/>
      <c r="CD300" s="10"/>
      <c r="CE300" s="10"/>
      <c r="CF300" s="10"/>
      <c r="CG300" s="10"/>
      <c r="CH300" s="10"/>
      <c r="CI300" s="10"/>
      <c r="CJ300" s="10"/>
      <c r="CK300" s="10"/>
      <c r="CL300" s="10"/>
      <c r="CM300" s="10"/>
      <c r="CN300" s="10"/>
      <c r="CO300" s="10"/>
      <c r="CP300" s="10"/>
      <c r="CQ300" s="10"/>
      <c r="CR300" s="10"/>
      <c r="CS300" s="10"/>
      <c r="CT300" s="10"/>
      <c r="CU300" s="10"/>
      <c r="CV300" s="10"/>
      <c r="CW300" s="10"/>
      <c r="CX300" s="10"/>
      <c r="CY300" s="10"/>
      <c r="CZ300" s="10"/>
      <c r="DA300" s="10"/>
      <c r="DB300" s="10"/>
      <c r="DC300" s="10"/>
      <c r="DD300" s="10"/>
      <c r="DE300" s="10"/>
      <c r="DF300" s="10"/>
      <c r="DG300" s="10"/>
      <c r="DH300" s="10"/>
    </row>
    <row r="301" spans="1:112" ht="15.75" customHeight="1" x14ac:dyDescent="0.3">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0"/>
      <c r="BC301" s="10"/>
      <c r="BD301" s="10"/>
      <c r="BE301" s="10"/>
      <c r="BF301" s="10"/>
      <c r="BG301" s="10"/>
      <c r="BH301" s="10"/>
      <c r="BI301" s="10"/>
      <c r="BJ301" s="10"/>
      <c r="BK301" s="10"/>
      <c r="BL301" s="10"/>
      <c r="BM301" s="10"/>
      <c r="BN301" s="10"/>
      <c r="BO301" s="10"/>
      <c r="BP301" s="10"/>
      <c r="BQ301" s="10"/>
      <c r="BR301" s="10"/>
      <c r="BS301" s="10"/>
      <c r="BT301" s="10"/>
      <c r="BU301" s="10"/>
      <c r="BV301" s="10"/>
      <c r="BW301" s="10"/>
      <c r="BX301" s="10"/>
      <c r="BY301" s="10"/>
      <c r="BZ301" s="10"/>
      <c r="CA301" s="10"/>
      <c r="CB301" s="10"/>
      <c r="CC301" s="10"/>
      <c r="CD301" s="10"/>
      <c r="CE301" s="10"/>
      <c r="CF301" s="10"/>
      <c r="CG301" s="10"/>
      <c r="CH301" s="10"/>
      <c r="CI301" s="10"/>
      <c r="CJ301" s="10"/>
      <c r="CK301" s="10"/>
      <c r="CL301" s="10"/>
      <c r="CM301" s="10"/>
      <c r="CN301" s="10"/>
      <c r="CO301" s="10"/>
      <c r="CP301" s="10"/>
      <c r="CQ301" s="10"/>
      <c r="CR301" s="10"/>
      <c r="CS301" s="10"/>
      <c r="CT301" s="10"/>
      <c r="CU301" s="10"/>
      <c r="CV301" s="10"/>
      <c r="CW301" s="10"/>
      <c r="CX301" s="10"/>
      <c r="CY301" s="10"/>
      <c r="CZ301" s="10"/>
      <c r="DA301" s="10"/>
      <c r="DB301" s="10"/>
      <c r="DC301" s="10"/>
      <c r="DD301" s="10"/>
      <c r="DE301" s="10"/>
      <c r="DF301" s="10"/>
      <c r="DG301" s="10"/>
      <c r="DH301" s="10"/>
    </row>
    <row r="302" spans="1:112" ht="15.75" customHeight="1" x14ac:dyDescent="0.3">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0"/>
      <c r="BC302" s="10"/>
      <c r="BD302" s="10"/>
      <c r="BE302" s="10"/>
      <c r="BF302" s="10"/>
      <c r="BG302" s="10"/>
      <c r="BH302" s="10"/>
      <c r="BI302" s="10"/>
      <c r="BJ302" s="10"/>
      <c r="BK302" s="10"/>
      <c r="BL302" s="10"/>
      <c r="BM302" s="10"/>
      <c r="BN302" s="10"/>
      <c r="BO302" s="10"/>
      <c r="BP302" s="10"/>
      <c r="BQ302" s="10"/>
      <c r="BR302" s="10"/>
      <c r="BS302" s="10"/>
      <c r="BT302" s="10"/>
      <c r="BU302" s="10"/>
      <c r="BV302" s="10"/>
      <c r="BW302" s="10"/>
      <c r="BX302" s="10"/>
      <c r="BY302" s="10"/>
      <c r="BZ302" s="10"/>
      <c r="CA302" s="10"/>
      <c r="CB302" s="10"/>
      <c r="CC302" s="10"/>
      <c r="CD302" s="10"/>
      <c r="CE302" s="10"/>
      <c r="CF302" s="10"/>
      <c r="CG302" s="10"/>
      <c r="CH302" s="10"/>
      <c r="CI302" s="10"/>
      <c r="CJ302" s="10"/>
      <c r="CK302" s="10"/>
      <c r="CL302" s="10"/>
      <c r="CM302" s="10"/>
      <c r="CN302" s="10"/>
      <c r="CO302" s="10"/>
      <c r="CP302" s="10"/>
      <c r="CQ302" s="10"/>
      <c r="CR302" s="10"/>
      <c r="CS302" s="10"/>
      <c r="CT302" s="10"/>
      <c r="CU302" s="10"/>
      <c r="CV302" s="10"/>
      <c r="CW302" s="10"/>
      <c r="CX302" s="10"/>
      <c r="CY302" s="10"/>
      <c r="CZ302" s="10"/>
      <c r="DA302" s="10"/>
      <c r="DB302" s="10"/>
      <c r="DC302" s="10"/>
      <c r="DD302" s="10"/>
      <c r="DE302" s="10"/>
      <c r="DF302" s="10"/>
      <c r="DG302" s="10"/>
      <c r="DH302" s="10"/>
    </row>
    <row r="303" spans="1:112" ht="15.75" customHeight="1" x14ac:dyDescent="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0"/>
      <c r="BC303" s="10"/>
      <c r="BD303" s="10"/>
      <c r="BE303" s="10"/>
      <c r="BF303" s="10"/>
      <c r="BG303" s="10"/>
      <c r="BH303" s="10"/>
      <c r="BI303" s="10"/>
      <c r="BJ303" s="10"/>
      <c r="BK303" s="10"/>
      <c r="BL303" s="10"/>
      <c r="BM303" s="10"/>
      <c r="BN303" s="10"/>
      <c r="BO303" s="10"/>
      <c r="BP303" s="10"/>
      <c r="BQ303" s="10"/>
      <c r="BR303" s="10"/>
      <c r="BS303" s="10"/>
      <c r="BT303" s="10"/>
      <c r="BU303" s="10"/>
      <c r="BV303" s="10"/>
      <c r="BW303" s="10"/>
      <c r="BX303" s="10"/>
      <c r="BY303" s="10"/>
      <c r="BZ303" s="10"/>
      <c r="CA303" s="10"/>
      <c r="CB303" s="10"/>
      <c r="CC303" s="10"/>
      <c r="CD303" s="10"/>
      <c r="CE303" s="10"/>
      <c r="CF303" s="10"/>
      <c r="CG303" s="10"/>
      <c r="CH303" s="10"/>
      <c r="CI303" s="10"/>
      <c r="CJ303" s="10"/>
      <c r="CK303" s="10"/>
      <c r="CL303" s="10"/>
      <c r="CM303" s="10"/>
      <c r="CN303" s="10"/>
      <c r="CO303" s="10"/>
      <c r="CP303" s="10"/>
      <c r="CQ303" s="10"/>
      <c r="CR303" s="10"/>
      <c r="CS303" s="10"/>
      <c r="CT303" s="10"/>
      <c r="CU303" s="10"/>
      <c r="CV303" s="10"/>
      <c r="CW303" s="10"/>
      <c r="CX303" s="10"/>
      <c r="CY303" s="10"/>
      <c r="CZ303" s="10"/>
      <c r="DA303" s="10"/>
      <c r="DB303" s="10"/>
      <c r="DC303" s="10"/>
      <c r="DD303" s="10"/>
      <c r="DE303" s="10"/>
      <c r="DF303" s="10"/>
      <c r="DG303" s="10"/>
      <c r="DH303" s="10"/>
    </row>
    <row r="304" spans="1:112" ht="15.75" customHeight="1" x14ac:dyDescent="0.3">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0"/>
      <c r="BC304" s="10"/>
      <c r="BD304" s="10"/>
      <c r="BE304" s="10"/>
      <c r="BF304" s="10"/>
      <c r="BG304" s="10"/>
      <c r="BH304" s="10"/>
      <c r="BI304" s="10"/>
      <c r="BJ304" s="10"/>
      <c r="BK304" s="10"/>
      <c r="BL304" s="10"/>
      <c r="BM304" s="10"/>
      <c r="BN304" s="10"/>
      <c r="BO304" s="10"/>
      <c r="BP304" s="10"/>
      <c r="BQ304" s="10"/>
      <c r="BR304" s="10"/>
      <c r="BS304" s="10"/>
      <c r="BT304" s="10"/>
      <c r="BU304" s="10"/>
      <c r="BV304" s="10"/>
      <c r="BW304" s="10"/>
      <c r="BX304" s="10"/>
      <c r="BY304" s="10"/>
      <c r="BZ304" s="10"/>
      <c r="CA304" s="10"/>
      <c r="CB304" s="10"/>
      <c r="CC304" s="10"/>
      <c r="CD304" s="10"/>
      <c r="CE304" s="10"/>
      <c r="CF304" s="10"/>
      <c r="CG304" s="10"/>
      <c r="CH304" s="10"/>
      <c r="CI304" s="10"/>
      <c r="CJ304" s="10"/>
      <c r="CK304" s="10"/>
      <c r="CL304" s="10"/>
      <c r="CM304" s="10"/>
      <c r="CN304" s="10"/>
      <c r="CO304" s="10"/>
      <c r="CP304" s="10"/>
      <c r="CQ304" s="10"/>
      <c r="CR304" s="10"/>
      <c r="CS304" s="10"/>
      <c r="CT304" s="10"/>
      <c r="CU304" s="10"/>
      <c r="CV304" s="10"/>
      <c r="CW304" s="10"/>
      <c r="CX304" s="10"/>
      <c r="CY304" s="10"/>
      <c r="CZ304" s="10"/>
      <c r="DA304" s="10"/>
      <c r="DB304" s="10"/>
      <c r="DC304" s="10"/>
      <c r="DD304" s="10"/>
      <c r="DE304" s="10"/>
      <c r="DF304" s="10"/>
      <c r="DG304" s="10"/>
      <c r="DH304" s="10"/>
    </row>
    <row r="305" spans="1:112" ht="15.75" customHeight="1" x14ac:dyDescent="0.3">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0"/>
      <c r="BC305" s="10"/>
      <c r="BD305" s="10"/>
      <c r="BE305" s="10"/>
      <c r="BF305" s="10"/>
      <c r="BG305" s="10"/>
      <c r="BH305" s="10"/>
      <c r="BI305" s="10"/>
      <c r="BJ305" s="10"/>
      <c r="BK305" s="10"/>
      <c r="BL305" s="10"/>
      <c r="BM305" s="10"/>
      <c r="BN305" s="10"/>
      <c r="BO305" s="10"/>
      <c r="BP305" s="10"/>
      <c r="BQ305" s="10"/>
      <c r="BR305" s="10"/>
      <c r="BS305" s="10"/>
      <c r="BT305" s="10"/>
      <c r="BU305" s="10"/>
      <c r="BV305" s="10"/>
      <c r="BW305" s="10"/>
      <c r="BX305" s="10"/>
      <c r="BY305" s="10"/>
      <c r="BZ305" s="10"/>
      <c r="CA305" s="10"/>
      <c r="CB305" s="10"/>
      <c r="CC305" s="10"/>
      <c r="CD305" s="10"/>
      <c r="CE305" s="10"/>
      <c r="CF305" s="10"/>
      <c r="CG305" s="10"/>
      <c r="CH305" s="10"/>
      <c r="CI305" s="10"/>
      <c r="CJ305" s="10"/>
      <c r="CK305" s="10"/>
      <c r="CL305" s="10"/>
      <c r="CM305" s="10"/>
      <c r="CN305" s="10"/>
      <c r="CO305" s="10"/>
      <c r="CP305" s="10"/>
      <c r="CQ305" s="10"/>
      <c r="CR305" s="10"/>
      <c r="CS305" s="10"/>
      <c r="CT305" s="10"/>
      <c r="CU305" s="10"/>
      <c r="CV305" s="10"/>
      <c r="CW305" s="10"/>
      <c r="CX305" s="10"/>
      <c r="CY305" s="10"/>
      <c r="CZ305" s="10"/>
      <c r="DA305" s="10"/>
      <c r="DB305" s="10"/>
      <c r="DC305" s="10"/>
      <c r="DD305" s="10"/>
      <c r="DE305" s="10"/>
      <c r="DF305" s="10"/>
      <c r="DG305" s="10"/>
      <c r="DH305" s="10"/>
    </row>
    <row r="306" spans="1:112" ht="15.75" customHeight="1" x14ac:dyDescent="0.3">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0"/>
      <c r="BC306" s="10"/>
      <c r="BD306" s="10"/>
      <c r="BE306" s="10"/>
      <c r="BF306" s="10"/>
      <c r="BG306" s="10"/>
      <c r="BH306" s="10"/>
      <c r="BI306" s="10"/>
      <c r="BJ306" s="10"/>
      <c r="BK306" s="10"/>
      <c r="BL306" s="10"/>
      <c r="BM306" s="10"/>
      <c r="BN306" s="10"/>
      <c r="BO306" s="10"/>
      <c r="BP306" s="10"/>
      <c r="BQ306" s="10"/>
      <c r="BR306" s="10"/>
      <c r="BS306" s="10"/>
      <c r="BT306" s="10"/>
      <c r="BU306" s="10"/>
      <c r="BV306" s="10"/>
      <c r="BW306" s="10"/>
      <c r="BX306" s="10"/>
      <c r="BY306" s="10"/>
      <c r="BZ306" s="10"/>
      <c r="CA306" s="10"/>
      <c r="CB306" s="10"/>
      <c r="CC306" s="10"/>
      <c r="CD306" s="10"/>
      <c r="CE306" s="10"/>
      <c r="CF306" s="10"/>
      <c r="CG306" s="10"/>
      <c r="CH306" s="10"/>
      <c r="CI306" s="10"/>
      <c r="CJ306" s="10"/>
      <c r="CK306" s="10"/>
      <c r="CL306" s="10"/>
      <c r="CM306" s="10"/>
      <c r="CN306" s="10"/>
      <c r="CO306" s="10"/>
      <c r="CP306" s="10"/>
      <c r="CQ306" s="10"/>
      <c r="CR306" s="10"/>
      <c r="CS306" s="10"/>
      <c r="CT306" s="10"/>
      <c r="CU306" s="10"/>
      <c r="CV306" s="10"/>
      <c r="CW306" s="10"/>
      <c r="CX306" s="10"/>
      <c r="CY306" s="10"/>
      <c r="CZ306" s="10"/>
      <c r="DA306" s="10"/>
      <c r="DB306" s="10"/>
      <c r="DC306" s="10"/>
      <c r="DD306" s="10"/>
      <c r="DE306" s="10"/>
      <c r="DF306" s="10"/>
      <c r="DG306" s="10"/>
      <c r="DH306" s="10"/>
    </row>
    <row r="307" spans="1:112" ht="15.75" customHeight="1" x14ac:dyDescent="0.3">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0"/>
      <c r="BC307" s="10"/>
      <c r="BD307" s="10"/>
      <c r="BE307" s="10"/>
      <c r="BF307" s="10"/>
      <c r="BG307" s="10"/>
      <c r="BH307" s="10"/>
      <c r="BI307" s="10"/>
      <c r="BJ307" s="10"/>
      <c r="BK307" s="10"/>
      <c r="BL307" s="10"/>
      <c r="BM307" s="10"/>
      <c r="BN307" s="10"/>
      <c r="BO307" s="10"/>
      <c r="BP307" s="10"/>
      <c r="BQ307" s="10"/>
      <c r="BR307" s="10"/>
      <c r="BS307" s="10"/>
      <c r="BT307" s="10"/>
      <c r="BU307" s="10"/>
      <c r="BV307" s="10"/>
      <c r="BW307" s="10"/>
      <c r="BX307" s="10"/>
      <c r="BY307" s="10"/>
      <c r="BZ307" s="10"/>
      <c r="CA307" s="10"/>
      <c r="CB307" s="10"/>
      <c r="CC307" s="10"/>
      <c r="CD307" s="10"/>
      <c r="CE307" s="10"/>
      <c r="CF307" s="10"/>
      <c r="CG307" s="10"/>
      <c r="CH307" s="10"/>
      <c r="CI307" s="10"/>
      <c r="CJ307" s="10"/>
      <c r="CK307" s="10"/>
      <c r="CL307" s="10"/>
      <c r="CM307" s="10"/>
      <c r="CN307" s="10"/>
      <c r="CO307" s="10"/>
      <c r="CP307" s="10"/>
      <c r="CQ307" s="10"/>
      <c r="CR307" s="10"/>
      <c r="CS307" s="10"/>
      <c r="CT307" s="10"/>
      <c r="CU307" s="10"/>
      <c r="CV307" s="10"/>
      <c r="CW307" s="10"/>
      <c r="CX307" s="10"/>
      <c r="CY307" s="10"/>
      <c r="CZ307" s="10"/>
      <c r="DA307" s="10"/>
      <c r="DB307" s="10"/>
      <c r="DC307" s="10"/>
      <c r="DD307" s="10"/>
      <c r="DE307" s="10"/>
      <c r="DF307" s="10"/>
      <c r="DG307" s="10"/>
      <c r="DH307" s="10"/>
    </row>
    <row r="308" spans="1:112" ht="15.75" customHeight="1" x14ac:dyDescent="0.3">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0"/>
      <c r="BC308" s="10"/>
      <c r="BD308" s="10"/>
      <c r="BE308" s="10"/>
      <c r="BF308" s="10"/>
      <c r="BG308" s="10"/>
      <c r="BH308" s="10"/>
      <c r="BI308" s="10"/>
      <c r="BJ308" s="10"/>
      <c r="BK308" s="10"/>
      <c r="BL308" s="10"/>
      <c r="BM308" s="10"/>
      <c r="BN308" s="10"/>
      <c r="BO308" s="10"/>
      <c r="BP308" s="10"/>
      <c r="BQ308" s="10"/>
      <c r="BR308" s="10"/>
      <c r="BS308" s="10"/>
      <c r="BT308" s="10"/>
      <c r="BU308" s="10"/>
      <c r="BV308" s="10"/>
      <c r="BW308" s="10"/>
      <c r="BX308" s="10"/>
      <c r="BY308" s="10"/>
      <c r="BZ308" s="10"/>
      <c r="CA308" s="10"/>
      <c r="CB308" s="10"/>
      <c r="CC308" s="10"/>
      <c r="CD308" s="10"/>
      <c r="CE308" s="10"/>
      <c r="CF308" s="10"/>
      <c r="CG308" s="10"/>
      <c r="CH308" s="10"/>
      <c r="CI308" s="10"/>
      <c r="CJ308" s="10"/>
      <c r="CK308" s="10"/>
      <c r="CL308" s="10"/>
      <c r="CM308" s="10"/>
      <c r="CN308" s="10"/>
      <c r="CO308" s="10"/>
      <c r="CP308" s="10"/>
      <c r="CQ308" s="10"/>
      <c r="CR308" s="10"/>
      <c r="CS308" s="10"/>
      <c r="CT308" s="10"/>
      <c r="CU308" s="10"/>
      <c r="CV308" s="10"/>
      <c r="CW308" s="10"/>
      <c r="CX308" s="10"/>
      <c r="CY308" s="10"/>
      <c r="CZ308" s="10"/>
      <c r="DA308" s="10"/>
      <c r="DB308" s="10"/>
      <c r="DC308" s="10"/>
      <c r="DD308" s="10"/>
      <c r="DE308" s="10"/>
      <c r="DF308" s="10"/>
      <c r="DG308" s="10"/>
      <c r="DH308" s="10"/>
    </row>
    <row r="309" spans="1:112" ht="15.75" customHeight="1" x14ac:dyDescent="0.3">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0"/>
      <c r="BC309" s="10"/>
      <c r="BD309" s="10"/>
      <c r="BE309" s="10"/>
      <c r="BF309" s="10"/>
      <c r="BG309" s="10"/>
      <c r="BH309" s="10"/>
      <c r="BI309" s="10"/>
      <c r="BJ309" s="10"/>
      <c r="BK309" s="10"/>
      <c r="BL309" s="10"/>
      <c r="BM309" s="10"/>
      <c r="BN309" s="10"/>
      <c r="BO309" s="10"/>
      <c r="BP309" s="10"/>
      <c r="BQ309" s="10"/>
      <c r="BR309" s="10"/>
      <c r="BS309" s="10"/>
      <c r="BT309" s="10"/>
      <c r="BU309" s="10"/>
      <c r="BV309" s="10"/>
      <c r="BW309" s="10"/>
      <c r="BX309" s="10"/>
      <c r="BY309" s="10"/>
      <c r="BZ309" s="10"/>
      <c r="CA309" s="10"/>
      <c r="CB309" s="10"/>
      <c r="CC309" s="10"/>
      <c r="CD309" s="10"/>
      <c r="CE309" s="10"/>
      <c r="CF309" s="10"/>
      <c r="CG309" s="10"/>
      <c r="CH309" s="10"/>
      <c r="CI309" s="10"/>
      <c r="CJ309" s="10"/>
      <c r="CK309" s="10"/>
      <c r="CL309" s="10"/>
      <c r="CM309" s="10"/>
      <c r="CN309" s="10"/>
      <c r="CO309" s="10"/>
      <c r="CP309" s="10"/>
      <c r="CQ309" s="10"/>
      <c r="CR309" s="10"/>
      <c r="CS309" s="10"/>
      <c r="CT309" s="10"/>
      <c r="CU309" s="10"/>
      <c r="CV309" s="10"/>
      <c r="CW309" s="10"/>
      <c r="CX309" s="10"/>
      <c r="CY309" s="10"/>
      <c r="CZ309" s="10"/>
      <c r="DA309" s="10"/>
      <c r="DB309" s="10"/>
      <c r="DC309" s="10"/>
      <c r="DD309" s="10"/>
      <c r="DE309" s="10"/>
      <c r="DF309" s="10"/>
      <c r="DG309" s="10"/>
      <c r="DH309" s="10"/>
    </row>
    <row r="310" spans="1:112" ht="15.75" customHeight="1" x14ac:dyDescent="0.3">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0"/>
      <c r="BC310" s="10"/>
      <c r="BD310" s="10"/>
      <c r="BE310" s="10"/>
      <c r="BF310" s="10"/>
      <c r="BG310" s="10"/>
      <c r="BH310" s="10"/>
      <c r="BI310" s="10"/>
      <c r="BJ310" s="10"/>
      <c r="BK310" s="10"/>
      <c r="BL310" s="10"/>
      <c r="BM310" s="10"/>
      <c r="BN310" s="10"/>
      <c r="BO310" s="10"/>
      <c r="BP310" s="10"/>
      <c r="BQ310" s="10"/>
      <c r="BR310" s="10"/>
      <c r="BS310" s="10"/>
      <c r="BT310" s="10"/>
      <c r="BU310" s="10"/>
      <c r="BV310" s="10"/>
      <c r="BW310" s="10"/>
      <c r="BX310" s="10"/>
      <c r="BY310" s="10"/>
      <c r="BZ310" s="10"/>
      <c r="CA310" s="10"/>
      <c r="CB310" s="10"/>
      <c r="CC310" s="10"/>
      <c r="CD310" s="10"/>
      <c r="CE310" s="10"/>
      <c r="CF310" s="10"/>
      <c r="CG310" s="10"/>
      <c r="CH310" s="10"/>
      <c r="CI310" s="10"/>
      <c r="CJ310" s="10"/>
      <c r="CK310" s="10"/>
      <c r="CL310" s="10"/>
      <c r="CM310" s="10"/>
      <c r="CN310" s="10"/>
      <c r="CO310" s="10"/>
      <c r="CP310" s="10"/>
      <c r="CQ310" s="10"/>
      <c r="CR310" s="10"/>
      <c r="CS310" s="10"/>
      <c r="CT310" s="10"/>
      <c r="CU310" s="10"/>
      <c r="CV310" s="10"/>
      <c r="CW310" s="10"/>
      <c r="CX310" s="10"/>
      <c r="CY310" s="10"/>
      <c r="CZ310" s="10"/>
      <c r="DA310" s="10"/>
      <c r="DB310" s="10"/>
      <c r="DC310" s="10"/>
      <c r="DD310" s="10"/>
      <c r="DE310" s="10"/>
      <c r="DF310" s="10"/>
      <c r="DG310" s="10"/>
      <c r="DH310" s="10"/>
    </row>
    <row r="311" spans="1:112" ht="15.75" customHeight="1" x14ac:dyDescent="0.3">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0"/>
      <c r="BC311" s="10"/>
      <c r="BD311" s="10"/>
      <c r="BE311" s="10"/>
      <c r="BF311" s="10"/>
      <c r="BG311" s="10"/>
      <c r="BH311" s="10"/>
      <c r="BI311" s="10"/>
      <c r="BJ311" s="10"/>
      <c r="BK311" s="10"/>
      <c r="BL311" s="10"/>
      <c r="BM311" s="10"/>
      <c r="BN311" s="10"/>
      <c r="BO311" s="10"/>
      <c r="BP311" s="10"/>
      <c r="BQ311" s="10"/>
      <c r="BR311" s="10"/>
      <c r="BS311" s="10"/>
      <c r="BT311" s="10"/>
      <c r="BU311" s="10"/>
      <c r="BV311" s="10"/>
      <c r="BW311" s="10"/>
      <c r="BX311" s="10"/>
      <c r="BY311" s="10"/>
      <c r="BZ311" s="10"/>
      <c r="CA311" s="10"/>
      <c r="CB311" s="10"/>
      <c r="CC311" s="10"/>
      <c r="CD311" s="10"/>
      <c r="CE311" s="10"/>
      <c r="CF311" s="10"/>
      <c r="CG311" s="10"/>
      <c r="CH311" s="10"/>
      <c r="CI311" s="10"/>
      <c r="CJ311" s="10"/>
      <c r="CK311" s="10"/>
      <c r="CL311" s="10"/>
      <c r="CM311" s="10"/>
      <c r="CN311" s="10"/>
      <c r="CO311" s="10"/>
      <c r="CP311" s="10"/>
      <c r="CQ311" s="10"/>
      <c r="CR311" s="10"/>
      <c r="CS311" s="10"/>
      <c r="CT311" s="10"/>
      <c r="CU311" s="10"/>
      <c r="CV311" s="10"/>
      <c r="CW311" s="10"/>
      <c r="CX311" s="10"/>
      <c r="CY311" s="10"/>
      <c r="CZ311" s="10"/>
      <c r="DA311" s="10"/>
      <c r="DB311" s="10"/>
      <c r="DC311" s="10"/>
      <c r="DD311" s="10"/>
      <c r="DE311" s="10"/>
      <c r="DF311" s="10"/>
      <c r="DG311" s="10"/>
      <c r="DH311" s="10"/>
    </row>
    <row r="312" spans="1:112" ht="15.75" customHeight="1" x14ac:dyDescent="0.3">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0"/>
      <c r="BC312" s="10"/>
      <c r="BD312" s="10"/>
      <c r="BE312" s="10"/>
      <c r="BF312" s="10"/>
      <c r="BG312" s="10"/>
      <c r="BH312" s="10"/>
      <c r="BI312" s="10"/>
      <c r="BJ312" s="10"/>
      <c r="BK312" s="10"/>
      <c r="BL312" s="10"/>
      <c r="BM312" s="10"/>
      <c r="BN312" s="10"/>
      <c r="BO312" s="10"/>
      <c r="BP312" s="10"/>
      <c r="BQ312" s="10"/>
      <c r="BR312" s="10"/>
      <c r="BS312" s="10"/>
      <c r="BT312" s="10"/>
      <c r="BU312" s="10"/>
      <c r="BV312" s="10"/>
      <c r="BW312" s="10"/>
      <c r="BX312" s="10"/>
      <c r="BY312" s="10"/>
      <c r="BZ312" s="10"/>
      <c r="CA312" s="10"/>
      <c r="CB312" s="10"/>
      <c r="CC312" s="10"/>
      <c r="CD312" s="10"/>
      <c r="CE312" s="10"/>
      <c r="CF312" s="10"/>
      <c r="CG312" s="10"/>
      <c r="CH312" s="10"/>
      <c r="CI312" s="10"/>
      <c r="CJ312" s="10"/>
      <c r="CK312" s="10"/>
      <c r="CL312" s="10"/>
      <c r="CM312" s="10"/>
      <c r="CN312" s="10"/>
      <c r="CO312" s="10"/>
      <c r="CP312" s="10"/>
      <c r="CQ312" s="10"/>
      <c r="CR312" s="10"/>
      <c r="CS312" s="10"/>
      <c r="CT312" s="10"/>
      <c r="CU312" s="10"/>
      <c r="CV312" s="10"/>
      <c r="CW312" s="10"/>
      <c r="CX312" s="10"/>
      <c r="CY312" s="10"/>
      <c r="CZ312" s="10"/>
      <c r="DA312" s="10"/>
      <c r="DB312" s="10"/>
      <c r="DC312" s="10"/>
      <c r="DD312" s="10"/>
      <c r="DE312" s="10"/>
      <c r="DF312" s="10"/>
      <c r="DG312" s="10"/>
      <c r="DH312" s="10"/>
    </row>
    <row r="313" spans="1:112" ht="15.75" customHeight="1" x14ac:dyDescent="0.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0"/>
      <c r="BC313" s="10"/>
      <c r="BD313" s="10"/>
      <c r="BE313" s="10"/>
      <c r="BF313" s="10"/>
      <c r="BG313" s="10"/>
      <c r="BH313" s="10"/>
      <c r="BI313" s="10"/>
      <c r="BJ313" s="10"/>
      <c r="BK313" s="10"/>
      <c r="BL313" s="10"/>
      <c r="BM313" s="10"/>
      <c r="BN313" s="10"/>
      <c r="BO313" s="10"/>
      <c r="BP313" s="10"/>
      <c r="BQ313" s="10"/>
      <c r="BR313" s="10"/>
      <c r="BS313" s="10"/>
      <c r="BT313" s="10"/>
      <c r="BU313" s="10"/>
      <c r="BV313" s="10"/>
      <c r="BW313" s="10"/>
      <c r="BX313" s="10"/>
      <c r="BY313" s="10"/>
      <c r="BZ313" s="10"/>
      <c r="CA313" s="10"/>
      <c r="CB313" s="10"/>
      <c r="CC313" s="10"/>
      <c r="CD313" s="10"/>
      <c r="CE313" s="10"/>
      <c r="CF313" s="10"/>
      <c r="CG313" s="10"/>
      <c r="CH313" s="10"/>
      <c r="CI313" s="10"/>
      <c r="CJ313" s="10"/>
      <c r="CK313" s="10"/>
      <c r="CL313" s="10"/>
      <c r="CM313" s="10"/>
      <c r="CN313" s="10"/>
      <c r="CO313" s="10"/>
      <c r="CP313" s="10"/>
      <c r="CQ313" s="10"/>
      <c r="CR313" s="10"/>
      <c r="CS313" s="10"/>
      <c r="CT313" s="10"/>
      <c r="CU313" s="10"/>
      <c r="CV313" s="10"/>
      <c r="CW313" s="10"/>
      <c r="CX313" s="10"/>
      <c r="CY313" s="10"/>
      <c r="CZ313" s="10"/>
      <c r="DA313" s="10"/>
      <c r="DB313" s="10"/>
      <c r="DC313" s="10"/>
      <c r="DD313" s="10"/>
      <c r="DE313" s="10"/>
      <c r="DF313" s="10"/>
      <c r="DG313" s="10"/>
      <c r="DH313" s="10"/>
    </row>
    <row r="314" spans="1:112" ht="15.75" customHeight="1" x14ac:dyDescent="0.3">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0"/>
      <c r="BC314" s="10"/>
      <c r="BD314" s="10"/>
      <c r="BE314" s="10"/>
      <c r="BF314" s="10"/>
      <c r="BG314" s="10"/>
      <c r="BH314" s="10"/>
      <c r="BI314" s="10"/>
      <c r="BJ314" s="10"/>
      <c r="BK314" s="10"/>
      <c r="BL314" s="10"/>
      <c r="BM314" s="10"/>
      <c r="BN314" s="10"/>
      <c r="BO314" s="10"/>
      <c r="BP314" s="10"/>
      <c r="BQ314" s="10"/>
      <c r="BR314" s="10"/>
      <c r="BS314" s="10"/>
      <c r="BT314" s="10"/>
      <c r="BU314" s="10"/>
      <c r="BV314" s="10"/>
      <c r="BW314" s="10"/>
      <c r="BX314" s="10"/>
      <c r="BY314" s="10"/>
      <c r="BZ314" s="10"/>
      <c r="CA314" s="10"/>
      <c r="CB314" s="10"/>
      <c r="CC314" s="10"/>
      <c r="CD314" s="10"/>
      <c r="CE314" s="10"/>
      <c r="CF314" s="10"/>
      <c r="CG314" s="10"/>
      <c r="CH314" s="10"/>
      <c r="CI314" s="10"/>
      <c r="CJ314" s="10"/>
      <c r="CK314" s="10"/>
      <c r="CL314" s="10"/>
      <c r="CM314" s="10"/>
      <c r="CN314" s="10"/>
      <c r="CO314" s="10"/>
      <c r="CP314" s="10"/>
      <c r="CQ314" s="10"/>
      <c r="CR314" s="10"/>
      <c r="CS314" s="10"/>
      <c r="CT314" s="10"/>
      <c r="CU314" s="10"/>
      <c r="CV314" s="10"/>
      <c r="CW314" s="10"/>
      <c r="CX314" s="10"/>
      <c r="CY314" s="10"/>
      <c r="CZ314" s="10"/>
      <c r="DA314" s="10"/>
      <c r="DB314" s="10"/>
      <c r="DC314" s="10"/>
      <c r="DD314" s="10"/>
      <c r="DE314" s="10"/>
      <c r="DF314" s="10"/>
      <c r="DG314" s="10"/>
      <c r="DH314" s="10"/>
    </row>
    <row r="315" spans="1:112" ht="15.75" customHeight="1" x14ac:dyDescent="0.3">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0"/>
      <c r="BC315" s="10"/>
      <c r="BD315" s="10"/>
      <c r="BE315" s="10"/>
      <c r="BF315" s="10"/>
      <c r="BG315" s="10"/>
      <c r="BH315" s="10"/>
      <c r="BI315" s="10"/>
      <c r="BJ315" s="10"/>
      <c r="BK315" s="10"/>
      <c r="BL315" s="10"/>
      <c r="BM315" s="10"/>
      <c r="BN315" s="10"/>
      <c r="BO315" s="10"/>
      <c r="BP315" s="10"/>
      <c r="BQ315" s="10"/>
      <c r="BR315" s="10"/>
      <c r="BS315" s="10"/>
      <c r="BT315" s="10"/>
      <c r="BU315" s="10"/>
      <c r="BV315" s="10"/>
      <c r="BW315" s="10"/>
      <c r="BX315" s="10"/>
      <c r="BY315" s="10"/>
      <c r="BZ315" s="10"/>
      <c r="CA315" s="10"/>
      <c r="CB315" s="10"/>
      <c r="CC315" s="10"/>
      <c r="CD315" s="10"/>
      <c r="CE315" s="10"/>
      <c r="CF315" s="10"/>
      <c r="CG315" s="10"/>
      <c r="CH315" s="10"/>
      <c r="CI315" s="10"/>
      <c r="CJ315" s="10"/>
      <c r="CK315" s="10"/>
      <c r="CL315" s="10"/>
      <c r="CM315" s="10"/>
      <c r="CN315" s="10"/>
      <c r="CO315" s="10"/>
      <c r="CP315" s="10"/>
      <c r="CQ315" s="10"/>
      <c r="CR315" s="10"/>
      <c r="CS315" s="10"/>
      <c r="CT315" s="10"/>
      <c r="CU315" s="10"/>
      <c r="CV315" s="10"/>
      <c r="CW315" s="10"/>
      <c r="CX315" s="10"/>
      <c r="CY315" s="10"/>
      <c r="CZ315" s="10"/>
      <c r="DA315" s="10"/>
      <c r="DB315" s="10"/>
      <c r="DC315" s="10"/>
      <c r="DD315" s="10"/>
      <c r="DE315" s="10"/>
      <c r="DF315" s="10"/>
      <c r="DG315" s="10"/>
      <c r="DH315" s="10"/>
    </row>
    <row r="316" spans="1:112" ht="15.75" customHeight="1" x14ac:dyDescent="0.3">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0"/>
      <c r="BC316" s="10"/>
      <c r="BD316" s="10"/>
      <c r="BE316" s="10"/>
      <c r="BF316" s="10"/>
      <c r="BG316" s="10"/>
      <c r="BH316" s="10"/>
      <c r="BI316" s="10"/>
      <c r="BJ316" s="10"/>
      <c r="BK316" s="10"/>
      <c r="BL316" s="10"/>
      <c r="BM316" s="10"/>
      <c r="BN316" s="10"/>
      <c r="BO316" s="10"/>
      <c r="BP316" s="10"/>
      <c r="BQ316" s="10"/>
      <c r="BR316" s="10"/>
      <c r="BS316" s="10"/>
      <c r="BT316" s="10"/>
      <c r="BU316" s="10"/>
      <c r="BV316" s="10"/>
      <c r="BW316" s="10"/>
      <c r="BX316" s="10"/>
      <c r="BY316" s="10"/>
      <c r="BZ316" s="10"/>
      <c r="CA316" s="10"/>
      <c r="CB316" s="10"/>
      <c r="CC316" s="10"/>
      <c r="CD316" s="10"/>
      <c r="CE316" s="10"/>
      <c r="CF316" s="10"/>
      <c r="CG316" s="10"/>
      <c r="CH316" s="10"/>
      <c r="CI316" s="10"/>
      <c r="CJ316" s="10"/>
      <c r="CK316" s="10"/>
      <c r="CL316" s="10"/>
      <c r="CM316" s="10"/>
      <c r="CN316" s="10"/>
      <c r="CO316" s="10"/>
      <c r="CP316" s="10"/>
      <c r="CQ316" s="10"/>
      <c r="CR316" s="10"/>
      <c r="CS316" s="10"/>
      <c r="CT316" s="10"/>
      <c r="CU316" s="10"/>
      <c r="CV316" s="10"/>
      <c r="CW316" s="10"/>
      <c r="CX316" s="10"/>
      <c r="CY316" s="10"/>
      <c r="CZ316" s="10"/>
      <c r="DA316" s="10"/>
      <c r="DB316" s="10"/>
      <c r="DC316" s="10"/>
      <c r="DD316" s="10"/>
      <c r="DE316" s="10"/>
      <c r="DF316" s="10"/>
      <c r="DG316" s="10"/>
      <c r="DH316" s="10"/>
    </row>
    <row r="317" spans="1:112" ht="15.75" customHeight="1" x14ac:dyDescent="0.3">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0"/>
      <c r="BC317" s="10"/>
      <c r="BD317" s="10"/>
      <c r="BE317" s="10"/>
      <c r="BF317" s="10"/>
      <c r="BG317" s="10"/>
      <c r="BH317" s="10"/>
      <c r="BI317" s="10"/>
      <c r="BJ317" s="10"/>
      <c r="BK317" s="10"/>
      <c r="BL317" s="10"/>
      <c r="BM317" s="10"/>
      <c r="BN317" s="10"/>
      <c r="BO317" s="10"/>
      <c r="BP317" s="10"/>
      <c r="BQ317" s="10"/>
      <c r="BR317" s="10"/>
      <c r="BS317" s="10"/>
      <c r="BT317" s="10"/>
      <c r="BU317" s="10"/>
      <c r="BV317" s="10"/>
      <c r="BW317" s="10"/>
      <c r="BX317" s="10"/>
      <c r="BY317" s="10"/>
      <c r="BZ317" s="10"/>
      <c r="CA317" s="10"/>
      <c r="CB317" s="10"/>
      <c r="CC317" s="10"/>
      <c r="CD317" s="10"/>
      <c r="CE317" s="10"/>
      <c r="CF317" s="10"/>
      <c r="CG317" s="10"/>
      <c r="CH317" s="10"/>
      <c r="CI317" s="10"/>
      <c r="CJ317" s="10"/>
      <c r="CK317" s="10"/>
      <c r="CL317" s="10"/>
      <c r="CM317" s="10"/>
      <c r="CN317" s="10"/>
      <c r="CO317" s="10"/>
      <c r="CP317" s="10"/>
      <c r="CQ317" s="10"/>
      <c r="CR317" s="10"/>
      <c r="CS317" s="10"/>
      <c r="CT317" s="10"/>
      <c r="CU317" s="10"/>
      <c r="CV317" s="10"/>
      <c r="CW317" s="10"/>
      <c r="CX317" s="10"/>
      <c r="CY317" s="10"/>
      <c r="CZ317" s="10"/>
      <c r="DA317" s="10"/>
      <c r="DB317" s="10"/>
      <c r="DC317" s="10"/>
      <c r="DD317" s="10"/>
      <c r="DE317" s="10"/>
      <c r="DF317" s="10"/>
      <c r="DG317" s="10"/>
      <c r="DH317" s="10"/>
    </row>
    <row r="318" spans="1:112" ht="15.75" customHeight="1" x14ac:dyDescent="0.3">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0"/>
      <c r="BC318" s="10"/>
      <c r="BD318" s="10"/>
      <c r="BE318" s="10"/>
      <c r="BF318" s="10"/>
      <c r="BG318" s="10"/>
      <c r="BH318" s="10"/>
      <c r="BI318" s="10"/>
      <c r="BJ318" s="10"/>
      <c r="BK318" s="10"/>
      <c r="BL318" s="10"/>
      <c r="BM318" s="10"/>
      <c r="BN318" s="10"/>
      <c r="BO318" s="10"/>
      <c r="BP318" s="10"/>
      <c r="BQ318" s="10"/>
      <c r="BR318" s="10"/>
      <c r="BS318" s="10"/>
      <c r="BT318" s="10"/>
      <c r="BU318" s="10"/>
      <c r="BV318" s="10"/>
      <c r="BW318" s="10"/>
      <c r="BX318" s="10"/>
      <c r="BY318" s="10"/>
      <c r="BZ318" s="10"/>
      <c r="CA318" s="10"/>
      <c r="CB318" s="10"/>
      <c r="CC318" s="10"/>
      <c r="CD318" s="10"/>
      <c r="CE318" s="10"/>
      <c r="CF318" s="10"/>
      <c r="CG318" s="10"/>
      <c r="CH318" s="10"/>
      <c r="CI318" s="10"/>
      <c r="CJ318" s="10"/>
      <c r="CK318" s="10"/>
      <c r="CL318" s="10"/>
      <c r="CM318" s="10"/>
      <c r="CN318" s="10"/>
      <c r="CO318" s="10"/>
      <c r="CP318" s="10"/>
      <c r="CQ318" s="10"/>
      <c r="CR318" s="10"/>
      <c r="CS318" s="10"/>
      <c r="CT318" s="10"/>
      <c r="CU318" s="10"/>
      <c r="CV318" s="10"/>
      <c r="CW318" s="10"/>
      <c r="CX318" s="10"/>
      <c r="CY318" s="10"/>
      <c r="CZ318" s="10"/>
      <c r="DA318" s="10"/>
      <c r="DB318" s="10"/>
      <c r="DC318" s="10"/>
      <c r="DD318" s="10"/>
      <c r="DE318" s="10"/>
      <c r="DF318" s="10"/>
      <c r="DG318" s="10"/>
      <c r="DH318" s="10"/>
    </row>
    <row r="319" spans="1:112" ht="15.75" customHeight="1" x14ac:dyDescent="0.3">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0"/>
      <c r="BC319" s="10"/>
      <c r="BD319" s="10"/>
      <c r="BE319" s="10"/>
      <c r="BF319" s="10"/>
      <c r="BG319" s="10"/>
      <c r="BH319" s="10"/>
      <c r="BI319" s="10"/>
      <c r="BJ319" s="10"/>
      <c r="BK319" s="10"/>
      <c r="BL319" s="10"/>
      <c r="BM319" s="10"/>
      <c r="BN319" s="10"/>
      <c r="BO319" s="10"/>
      <c r="BP319" s="10"/>
      <c r="BQ319" s="10"/>
      <c r="BR319" s="10"/>
      <c r="BS319" s="10"/>
      <c r="BT319" s="10"/>
      <c r="BU319" s="10"/>
      <c r="BV319" s="10"/>
      <c r="BW319" s="10"/>
      <c r="BX319" s="10"/>
      <c r="BY319" s="10"/>
      <c r="BZ319" s="10"/>
      <c r="CA319" s="10"/>
      <c r="CB319" s="10"/>
      <c r="CC319" s="10"/>
      <c r="CD319" s="10"/>
      <c r="CE319" s="10"/>
      <c r="CF319" s="10"/>
      <c r="CG319" s="10"/>
      <c r="CH319" s="10"/>
      <c r="CI319" s="10"/>
      <c r="CJ319" s="10"/>
      <c r="CK319" s="10"/>
      <c r="CL319" s="10"/>
      <c r="CM319" s="10"/>
      <c r="CN319" s="10"/>
      <c r="CO319" s="10"/>
      <c r="CP319" s="10"/>
      <c r="CQ319" s="10"/>
      <c r="CR319" s="10"/>
      <c r="CS319" s="10"/>
      <c r="CT319" s="10"/>
      <c r="CU319" s="10"/>
      <c r="CV319" s="10"/>
      <c r="CW319" s="10"/>
      <c r="CX319" s="10"/>
      <c r="CY319" s="10"/>
      <c r="CZ319" s="10"/>
      <c r="DA319" s="10"/>
      <c r="DB319" s="10"/>
      <c r="DC319" s="10"/>
      <c r="DD319" s="10"/>
      <c r="DE319" s="10"/>
      <c r="DF319" s="10"/>
      <c r="DG319" s="10"/>
      <c r="DH319" s="10"/>
    </row>
    <row r="320" spans="1:112" ht="15.75" customHeight="1" x14ac:dyDescent="0.3">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0"/>
      <c r="BC320" s="10"/>
      <c r="BD320" s="10"/>
      <c r="BE320" s="10"/>
      <c r="BF320" s="10"/>
      <c r="BG320" s="10"/>
      <c r="BH320" s="10"/>
      <c r="BI320" s="10"/>
      <c r="BJ320" s="10"/>
      <c r="BK320" s="10"/>
      <c r="BL320" s="10"/>
      <c r="BM320" s="10"/>
      <c r="BN320" s="10"/>
      <c r="BO320" s="10"/>
      <c r="BP320" s="10"/>
      <c r="BQ320" s="10"/>
      <c r="BR320" s="10"/>
      <c r="BS320" s="10"/>
      <c r="BT320" s="10"/>
      <c r="BU320" s="10"/>
      <c r="BV320" s="10"/>
      <c r="BW320" s="10"/>
      <c r="BX320" s="10"/>
      <c r="BY320" s="10"/>
      <c r="BZ320" s="10"/>
      <c r="CA320" s="10"/>
      <c r="CB320" s="10"/>
      <c r="CC320" s="10"/>
      <c r="CD320" s="10"/>
      <c r="CE320" s="10"/>
      <c r="CF320" s="10"/>
      <c r="CG320" s="10"/>
      <c r="CH320" s="10"/>
      <c r="CI320" s="10"/>
      <c r="CJ320" s="10"/>
      <c r="CK320" s="10"/>
      <c r="CL320" s="10"/>
      <c r="CM320" s="10"/>
      <c r="CN320" s="10"/>
      <c r="CO320" s="10"/>
      <c r="CP320" s="10"/>
      <c r="CQ320" s="10"/>
      <c r="CR320" s="10"/>
      <c r="CS320" s="10"/>
      <c r="CT320" s="10"/>
      <c r="CU320" s="10"/>
      <c r="CV320" s="10"/>
      <c r="CW320" s="10"/>
      <c r="CX320" s="10"/>
      <c r="CY320" s="10"/>
      <c r="CZ320" s="10"/>
      <c r="DA320" s="10"/>
      <c r="DB320" s="10"/>
      <c r="DC320" s="10"/>
      <c r="DD320" s="10"/>
      <c r="DE320" s="10"/>
      <c r="DF320" s="10"/>
      <c r="DG320" s="10"/>
      <c r="DH320" s="10"/>
    </row>
    <row r="321" spans="1:112" ht="15.75" customHeight="1" x14ac:dyDescent="0.3">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0"/>
      <c r="BC321" s="10"/>
      <c r="BD321" s="10"/>
      <c r="BE321" s="10"/>
      <c r="BF321" s="10"/>
      <c r="BG321" s="10"/>
      <c r="BH321" s="10"/>
      <c r="BI321" s="10"/>
      <c r="BJ321" s="10"/>
      <c r="BK321" s="10"/>
      <c r="BL321" s="10"/>
      <c r="BM321" s="10"/>
      <c r="BN321" s="10"/>
      <c r="BO321" s="10"/>
      <c r="BP321" s="10"/>
      <c r="BQ321" s="10"/>
      <c r="BR321" s="10"/>
      <c r="BS321" s="10"/>
      <c r="BT321" s="10"/>
      <c r="BU321" s="10"/>
      <c r="BV321" s="10"/>
      <c r="BW321" s="10"/>
      <c r="BX321" s="10"/>
      <c r="BY321" s="10"/>
      <c r="BZ321" s="10"/>
      <c r="CA321" s="10"/>
      <c r="CB321" s="10"/>
      <c r="CC321" s="10"/>
      <c r="CD321" s="10"/>
      <c r="CE321" s="10"/>
      <c r="CF321" s="10"/>
      <c r="CG321" s="10"/>
      <c r="CH321" s="10"/>
      <c r="CI321" s="10"/>
      <c r="CJ321" s="10"/>
      <c r="CK321" s="10"/>
      <c r="CL321" s="10"/>
      <c r="CM321" s="10"/>
      <c r="CN321" s="10"/>
      <c r="CO321" s="10"/>
      <c r="CP321" s="10"/>
      <c r="CQ321" s="10"/>
      <c r="CR321" s="10"/>
      <c r="CS321" s="10"/>
      <c r="CT321" s="10"/>
      <c r="CU321" s="10"/>
      <c r="CV321" s="10"/>
      <c r="CW321" s="10"/>
      <c r="CX321" s="10"/>
      <c r="CY321" s="10"/>
      <c r="CZ321" s="10"/>
      <c r="DA321" s="10"/>
      <c r="DB321" s="10"/>
      <c r="DC321" s="10"/>
      <c r="DD321" s="10"/>
      <c r="DE321" s="10"/>
      <c r="DF321" s="10"/>
      <c r="DG321" s="10"/>
      <c r="DH321" s="10"/>
    </row>
    <row r="322" spans="1:112" ht="15.75" customHeight="1" x14ac:dyDescent="0.3">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0"/>
      <c r="BC322" s="10"/>
      <c r="BD322" s="10"/>
      <c r="BE322" s="10"/>
      <c r="BF322" s="10"/>
      <c r="BG322" s="10"/>
      <c r="BH322" s="10"/>
      <c r="BI322" s="10"/>
      <c r="BJ322" s="10"/>
      <c r="BK322" s="10"/>
      <c r="BL322" s="10"/>
      <c r="BM322" s="10"/>
      <c r="BN322" s="10"/>
      <c r="BO322" s="10"/>
      <c r="BP322" s="10"/>
      <c r="BQ322" s="10"/>
      <c r="BR322" s="10"/>
      <c r="BS322" s="10"/>
      <c r="BT322" s="10"/>
      <c r="BU322" s="10"/>
      <c r="BV322" s="10"/>
      <c r="BW322" s="10"/>
      <c r="BX322" s="10"/>
      <c r="BY322" s="10"/>
      <c r="BZ322" s="10"/>
      <c r="CA322" s="10"/>
      <c r="CB322" s="10"/>
      <c r="CC322" s="10"/>
      <c r="CD322" s="10"/>
      <c r="CE322" s="10"/>
      <c r="CF322" s="10"/>
      <c r="CG322" s="10"/>
      <c r="CH322" s="10"/>
      <c r="CI322" s="10"/>
      <c r="CJ322" s="10"/>
      <c r="CK322" s="10"/>
      <c r="CL322" s="10"/>
      <c r="CM322" s="10"/>
      <c r="CN322" s="10"/>
      <c r="CO322" s="10"/>
      <c r="CP322" s="10"/>
      <c r="CQ322" s="10"/>
      <c r="CR322" s="10"/>
      <c r="CS322" s="10"/>
      <c r="CT322" s="10"/>
      <c r="CU322" s="10"/>
      <c r="CV322" s="10"/>
      <c r="CW322" s="10"/>
      <c r="CX322" s="10"/>
      <c r="CY322" s="10"/>
      <c r="CZ322" s="10"/>
      <c r="DA322" s="10"/>
      <c r="DB322" s="10"/>
      <c r="DC322" s="10"/>
      <c r="DD322" s="10"/>
      <c r="DE322" s="10"/>
      <c r="DF322" s="10"/>
      <c r="DG322" s="10"/>
      <c r="DH322" s="10"/>
    </row>
    <row r="323" spans="1:112" ht="15.75" customHeight="1" x14ac:dyDescent="0.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0"/>
      <c r="BC323" s="10"/>
      <c r="BD323" s="10"/>
      <c r="BE323" s="10"/>
      <c r="BF323" s="10"/>
      <c r="BG323" s="10"/>
      <c r="BH323" s="10"/>
      <c r="BI323" s="10"/>
      <c r="BJ323" s="10"/>
      <c r="BK323" s="10"/>
      <c r="BL323" s="10"/>
      <c r="BM323" s="10"/>
      <c r="BN323" s="10"/>
      <c r="BO323" s="10"/>
      <c r="BP323" s="10"/>
      <c r="BQ323" s="10"/>
      <c r="BR323" s="10"/>
      <c r="BS323" s="10"/>
      <c r="BT323" s="10"/>
      <c r="BU323" s="10"/>
      <c r="BV323" s="10"/>
      <c r="BW323" s="10"/>
      <c r="BX323" s="10"/>
      <c r="BY323" s="10"/>
      <c r="BZ323" s="10"/>
      <c r="CA323" s="10"/>
      <c r="CB323" s="10"/>
      <c r="CC323" s="10"/>
      <c r="CD323" s="10"/>
      <c r="CE323" s="10"/>
      <c r="CF323" s="10"/>
      <c r="CG323" s="10"/>
      <c r="CH323" s="10"/>
      <c r="CI323" s="10"/>
      <c r="CJ323" s="10"/>
      <c r="CK323" s="10"/>
      <c r="CL323" s="10"/>
      <c r="CM323" s="10"/>
      <c r="CN323" s="10"/>
      <c r="CO323" s="10"/>
      <c r="CP323" s="10"/>
      <c r="CQ323" s="10"/>
      <c r="CR323" s="10"/>
      <c r="CS323" s="10"/>
      <c r="CT323" s="10"/>
      <c r="CU323" s="10"/>
      <c r="CV323" s="10"/>
      <c r="CW323" s="10"/>
      <c r="CX323" s="10"/>
      <c r="CY323" s="10"/>
      <c r="CZ323" s="10"/>
      <c r="DA323" s="10"/>
      <c r="DB323" s="10"/>
      <c r="DC323" s="10"/>
      <c r="DD323" s="10"/>
      <c r="DE323" s="10"/>
      <c r="DF323" s="10"/>
      <c r="DG323" s="10"/>
      <c r="DH323" s="10"/>
    </row>
    <row r="324" spans="1:112" ht="15.75" customHeight="1" x14ac:dyDescent="0.3">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0"/>
      <c r="BC324" s="10"/>
      <c r="BD324" s="10"/>
      <c r="BE324" s="10"/>
      <c r="BF324" s="10"/>
      <c r="BG324" s="10"/>
      <c r="BH324" s="10"/>
      <c r="BI324" s="10"/>
      <c r="BJ324" s="10"/>
      <c r="BK324" s="10"/>
      <c r="BL324" s="10"/>
      <c r="BM324" s="10"/>
      <c r="BN324" s="10"/>
      <c r="BO324" s="10"/>
      <c r="BP324" s="10"/>
      <c r="BQ324" s="10"/>
      <c r="BR324" s="10"/>
      <c r="BS324" s="10"/>
      <c r="BT324" s="10"/>
      <c r="BU324" s="10"/>
      <c r="BV324" s="10"/>
      <c r="BW324" s="10"/>
      <c r="BX324" s="10"/>
      <c r="BY324" s="10"/>
      <c r="BZ324" s="10"/>
      <c r="CA324" s="10"/>
      <c r="CB324" s="10"/>
      <c r="CC324" s="10"/>
      <c r="CD324" s="10"/>
      <c r="CE324" s="10"/>
      <c r="CF324" s="10"/>
      <c r="CG324" s="10"/>
      <c r="CH324" s="10"/>
      <c r="CI324" s="10"/>
      <c r="CJ324" s="10"/>
      <c r="CK324" s="10"/>
      <c r="CL324" s="10"/>
      <c r="CM324" s="10"/>
      <c r="CN324" s="10"/>
      <c r="CO324" s="10"/>
      <c r="CP324" s="10"/>
      <c r="CQ324" s="10"/>
      <c r="CR324" s="10"/>
      <c r="CS324" s="10"/>
      <c r="CT324" s="10"/>
      <c r="CU324" s="10"/>
      <c r="CV324" s="10"/>
      <c r="CW324" s="10"/>
      <c r="CX324" s="10"/>
      <c r="CY324" s="10"/>
      <c r="CZ324" s="10"/>
      <c r="DA324" s="10"/>
      <c r="DB324" s="10"/>
      <c r="DC324" s="10"/>
      <c r="DD324" s="10"/>
      <c r="DE324" s="10"/>
      <c r="DF324" s="10"/>
      <c r="DG324" s="10"/>
      <c r="DH324" s="10"/>
    </row>
    <row r="325" spans="1:112" ht="15.75" customHeight="1" x14ac:dyDescent="0.3">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0"/>
      <c r="BC325" s="10"/>
      <c r="BD325" s="10"/>
      <c r="BE325" s="10"/>
      <c r="BF325" s="10"/>
      <c r="BG325" s="10"/>
      <c r="BH325" s="10"/>
      <c r="BI325" s="10"/>
      <c r="BJ325" s="10"/>
      <c r="BK325" s="10"/>
      <c r="BL325" s="10"/>
      <c r="BM325" s="10"/>
      <c r="BN325" s="10"/>
      <c r="BO325" s="10"/>
      <c r="BP325" s="10"/>
      <c r="BQ325" s="10"/>
      <c r="BR325" s="10"/>
      <c r="BS325" s="10"/>
      <c r="BT325" s="10"/>
      <c r="BU325" s="10"/>
      <c r="BV325" s="10"/>
      <c r="BW325" s="10"/>
      <c r="BX325" s="10"/>
      <c r="BY325" s="10"/>
      <c r="BZ325" s="10"/>
      <c r="CA325" s="10"/>
      <c r="CB325" s="10"/>
      <c r="CC325" s="10"/>
      <c r="CD325" s="10"/>
      <c r="CE325" s="10"/>
      <c r="CF325" s="10"/>
      <c r="CG325" s="10"/>
      <c r="CH325" s="10"/>
      <c r="CI325" s="10"/>
      <c r="CJ325" s="10"/>
      <c r="CK325" s="10"/>
      <c r="CL325" s="10"/>
      <c r="CM325" s="10"/>
      <c r="CN325" s="10"/>
      <c r="CO325" s="10"/>
      <c r="CP325" s="10"/>
      <c r="CQ325" s="10"/>
      <c r="CR325" s="10"/>
      <c r="CS325" s="10"/>
      <c r="CT325" s="10"/>
      <c r="CU325" s="10"/>
      <c r="CV325" s="10"/>
      <c r="CW325" s="10"/>
      <c r="CX325" s="10"/>
      <c r="CY325" s="10"/>
      <c r="CZ325" s="10"/>
      <c r="DA325" s="10"/>
      <c r="DB325" s="10"/>
      <c r="DC325" s="10"/>
      <c r="DD325" s="10"/>
      <c r="DE325" s="10"/>
      <c r="DF325" s="10"/>
      <c r="DG325" s="10"/>
      <c r="DH325" s="10"/>
    </row>
    <row r="326" spans="1:112" ht="15.75" customHeight="1" x14ac:dyDescent="0.3">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0"/>
      <c r="BC326" s="10"/>
      <c r="BD326" s="10"/>
      <c r="BE326" s="10"/>
      <c r="BF326" s="10"/>
      <c r="BG326" s="10"/>
      <c r="BH326" s="10"/>
      <c r="BI326" s="10"/>
      <c r="BJ326" s="10"/>
      <c r="BK326" s="10"/>
      <c r="BL326" s="10"/>
      <c r="BM326" s="10"/>
      <c r="BN326" s="10"/>
      <c r="BO326" s="10"/>
      <c r="BP326" s="10"/>
      <c r="BQ326" s="10"/>
      <c r="BR326" s="10"/>
      <c r="BS326" s="10"/>
      <c r="BT326" s="10"/>
      <c r="BU326" s="10"/>
      <c r="BV326" s="10"/>
      <c r="BW326" s="10"/>
      <c r="BX326" s="10"/>
      <c r="BY326" s="10"/>
      <c r="BZ326" s="10"/>
      <c r="CA326" s="10"/>
      <c r="CB326" s="10"/>
      <c r="CC326" s="10"/>
      <c r="CD326" s="10"/>
      <c r="CE326" s="10"/>
      <c r="CF326" s="10"/>
      <c r="CG326" s="10"/>
      <c r="CH326" s="10"/>
      <c r="CI326" s="10"/>
      <c r="CJ326" s="10"/>
      <c r="CK326" s="10"/>
      <c r="CL326" s="10"/>
      <c r="CM326" s="10"/>
      <c r="CN326" s="10"/>
      <c r="CO326" s="10"/>
      <c r="CP326" s="10"/>
      <c r="CQ326" s="10"/>
      <c r="CR326" s="10"/>
      <c r="CS326" s="10"/>
      <c r="CT326" s="10"/>
      <c r="CU326" s="10"/>
      <c r="CV326" s="10"/>
      <c r="CW326" s="10"/>
      <c r="CX326" s="10"/>
      <c r="CY326" s="10"/>
      <c r="CZ326" s="10"/>
      <c r="DA326" s="10"/>
      <c r="DB326" s="10"/>
      <c r="DC326" s="10"/>
      <c r="DD326" s="10"/>
      <c r="DE326" s="10"/>
      <c r="DF326" s="10"/>
      <c r="DG326" s="10"/>
      <c r="DH326" s="10"/>
    </row>
    <row r="327" spans="1:112" ht="15.75" customHeight="1" x14ac:dyDescent="0.3">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0"/>
      <c r="BC327" s="10"/>
      <c r="BD327" s="10"/>
      <c r="BE327" s="10"/>
      <c r="BF327" s="10"/>
      <c r="BG327" s="10"/>
      <c r="BH327" s="10"/>
      <c r="BI327" s="10"/>
      <c r="BJ327" s="10"/>
      <c r="BK327" s="10"/>
      <c r="BL327" s="10"/>
      <c r="BM327" s="10"/>
      <c r="BN327" s="10"/>
      <c r="BO327" s="10"/>
      <c r="BP327" s="10"/>
      <c r="BQ327" s="10"/>
      <c r="BR327" s="10"/>
      <c r="BS327" s="10"/>
      <c r="BT327" s="10"/>
      <c r="BU327" s="10"/>
      <c r="BV327" s="10"/>
      <c r="BW327" s="10"/>
      <c r="BX327" s="10"/>
      <c r="BY327" s="10"/>
      <c r="BZ327" s="10"/>
      <c r="CA327" s="10"/>
      <c r="CB327" s="10"/>
      <c r="CC327" s="10"/>
      <c r="CD327" s="10"/>
      <c r="CE327" s="10"/>
      <c r="CF327" s="10"/>
      <c r="CG327" s="10"/>
      <c r="CH327" s="10"/>
      <c r="CI327" s="10"/>
      <c r="CJ327" s="10"/>
      <c r="CK327" s="10"/>
      <c r="CL327" s="10"/>
      <c r="CM327" s="10"/>
      <c r="CN327" s="10"/>
      <c r="CO327" s="10"/>
      <c r="CP327" s="10"/>
      <c r="CQ327" s="10"/>
      <c r="CR327" s="10"/>
      <c r="CS327" s="10"/>
      <c r="CT327" s="10"/>
      <c r="CU327" s="10"/>
      <c r="CV327" s="10"/>
      <c r="CW327" s="10"/>
      <c r="CX327" s="10"/>
      <c r="CY327" s="10"/>
      <c r="CZ327" s="10"/>
      <c r="DA327" s="10"/>
      <c r="DB327" s="10"/>
      <c r="DC327" s="10"/>
      <c r="DD327" s="10"/>
      <c r="DE327" s="10"/>
      <c r="DF327" s="10"/>
      <c r="DG327" s="10"/>
      <c r="DH327" s="10"/>
    </row>
    <row r="328" spans="1:112" ht="15.75" customHeight="1" x14ac:dyDescent="0.3">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0"/>
      <c r="BC328" s="10"/>
      <c r="BD328" s="10"/>
      <c r="BE328" s="10"/>
      <c r="BF328" s="10"/>
      <c r="BG328" s="10"/>
      <c r="BH328" s="10"/>
      <c r="BI328" s="10"/>
      <c r="BJ328" s="10"/>
      <c r="BK328" s="10"/>
      <c r="BL328" s="10"/>
      <c r="BM328" s="10"/>
      <c r="BN328" s="10"/>
      <c r="BO328" s="10"/>
      <c r="BP328" s="10"/>
      <c r="BQ328" s="10"/>
      <c r="BR328" s="10"/>
      <c r="BS328" s="10"/>
      <c r="BT328" s="10"/>
      <c r="BU328" s="10"/>
      <c r="BV328" s="10"/>
      <c r="BW328" s="10"/>
      <c r="BX328" s="10"/>
      <c r="BY328" s="10"/>
      <c r="BZ328" s="10"/>
      <c r="CA328" s="10"/>
      <c r="CB328" s="10"/>
      <c r="CC328" s="10"/>
      <c r="CD328" s="10"/>
      <c r="CE328" s="10"/>
      <c r="CF328" s="10"/>
      <c r="CG328" s="10"/>
      <c r="CH328" s="10"/>
      <c r="CI328" s="10"/>
      <c r="CJ328" s="10"/>
      <c r="CK328" s="10"/>
      <c r="CL328" s="10"/>
      <c r="CM328" s="10"/>
      <c r="CN328" s="10"/>
      <c r="CO328" s="10"/>
      <c r="CP328" s="10"/>
      <c r="CQ328" s="10"/>
      <c r="CR328" s="10"/>
      <c r="CS328" s="10"/>
      <c r="CT328" s="10"/>
      <c r="CU328" s="10"/>
      <c r="CV328" s="10"/>
      <c r="CW328" s="10"/>
      <c r="CX328" s="10"/>
      <c r="CY328" s="10"/>
      <c r="CZ328" s="10"/>
      <c r="DA328" s="10"/>
      <c r="DB328" s="10"/>
      <c r="DC328" s="10"/>
      <c r="DD328" s="10"/>
      <c r="DE328" s="10"/>
      <c r="DF328" s="10"/>
      <c r="DG328" s="10"/>
      <c r="DH328" s="10"/>
    </row>
    <row r="329" spans="1:112" ht="15.75" customHeight="1" x14ac:dyDescent="0.3">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0"/>
      <c r="BC329" s="10"/>
      <c r="BD329" s="10"/>
      <c r="BE329" s="10"/>
      <c r="BF329" s="10"/>
      <c r="BG329" s="10"/>
      <c r="BH329" s="10"/>
      <c r="BI329" s="10"/>
      <c r="BJ329" s="10"/>
      <c r="BK329" s="10"/>
      <c r="BL329" s="10"/>
      <c r="BM329" s="10"/>
      <c r="BN329" s="10"/>
      <c r="BO329" s="10"/>
      <c r="BP329" s="10"/>
      <c r="BQ329" s="10"/>
      <c r="BR329" s="10"/>
      <c r="BS329" s="10"/>
      <c r="BT329" s="10"/>
      <c r="BU329" s="10"/>
      <c r="BV329" s="10"/>
      <c r="BW329" s="10"/>
      <c r="BX329" s="10"/>
      <c r="BY329" s="10"/>
      <c r="BZ329" s="10"/>
      <c r="CA329" s="10"/>
      <c r="CB329" s="10"/>
      <c r="CC329" s="10"/>
      <c r="CD329" s="10"/>
      <c r="CE329" s="10"/>
      <c r="CF329" s="10"/>
      <c r="CG329" s="10"/>
      <c r="CH329" s="10"/>
      <c r="CI329" s="10"/>
      <c r="CJ329" s="10"/>
      <c r="CK329" s="10"/>
      <c r="CL329" s="10"/>
      <c r="CM329" s="10"/>
      <c r="CN329" s="10"/>
      <c r="CO329" s="10"/>
      <c r="CP329" s="10"/>
      <c r="CQ329" s="10"/>
      <c r="CR329" s="10"/>
      <c r="CS329" s="10"/>
      <c r="CT329" s="10"/>
      <c r="CU329" s="10"/>
      <c r="CV329" s="10"/>
      <c r="CW329" s="10"/>
      <c r="CX329" s="10"/>
      <c r="CY329" s="10"/>
      <c r="CZ329" s="10"/>
      <c r="DA329" s="10"/>
      <c r="DB329" s="10"/>
      <c r="DC329" s="10"/>
      <c r="DD329" s="10"/>
      <c r="DE329" s="10"/>
      <c r="DF329" s="10"/>
      <c r="DG329" s="10"/>
      <c r="DH329" s="10"/>
    </row>
    <row r="330" spans="1:112" ht="15.75" customHeight="1" x14ac:dyDescent="0.3">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0"/>
      <c r="BC330" s="10"/>
      <c r="BD330" s="10"/>
      <c r="BE330" s="10"/>
      <c r="BF330" s="10"/>
      <c r="BG330" s="10"/>
      <c r="BH330" s="10"/>
      <c r="BI330" s="10"/>
      <c r="BJ330" s="10"/>
      <c r="BK330" s="10"/>
      <c r="BL330" s="10"/>
      <c r="BM330" s="10"/>
      <c r="BN330" s="10"/>
      <c r="BO330" s="10"/>
      <c r="BP330" s="10"/>
      <c r="BQ330" s="10"/>
      <c r="BR330" s="10"/>
      <c r="BS330" s="10"/>
      <c r="BT330" s="10"/>
      <c r="BU330" s="10"/>
      <c r="BV330" s="10"/>
      <c r="BW330" s="10"/>
      <c r="BX330" s="10"/>
      <c r="BY330" s="10"/>
      <c r="BZ330" s="10"/>
      <c r="CA330" s="10"/>
      <c r="CB330" s="10"/>
      <c r="CC330" s="10"/>
      <c r="CD330" s="10"/>
      <c r="CE330" s="10"/>
      <c r="CF330" s="10"/>
      <c r="CG330" s="10"/>
      <c r="CH330" s="10"/>
      <c r="CI330" s="10"/>
      <c r="CJ330" s="10"/>
      <c r="CK330" s="10"/>
      <c r="CL330" s="10"/>
      <c r="CM330" s="10"/>
      <c r="CN330" s="10"/>
      <c r="CO330" s="10"/>
      <c r="CP330" s="10"/>
      <c r="CQ330" s="10"/>
      <c r="CR330" s="10"/>
      <c r="CS330" s="10"/>
      <c r="CT330" s="10"/>
      <c r="CU330" s="10"/>
      <c r="CV330" s="10"/>
      <c r="CW330" s="10"/>
      <c r="CX330" s="10"/>
      <c r="CY330" s="10"/>
      <c r="CZ330" s="10"/>
      <c r="DA330" s="10"/>
      <c r="DB330" s="10"/>
      <c r="DC330" s="10"/>
      <c r="DD330" s="10"/>
      <c r="DE330" s="10"/>
      <c r="DF330" s="10"/>
      <c r="DG330" s="10"/>
      <c r="DH330" s="10"/>
    </row>
    <row r="331" spans="1:112" ht="15.75" customHeight="1" x14ac:dyDescent="0.3">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0"/>
      <c r="BC331" s="10"/>
      <c r="BD331" s="10"/>
      <c r="BE331" s="10"/>
      <c r="BF331" s="10"/>
      <c r="BG331" s="10"/>
      <c r="BH331" s="10"/>
      <c r="BI331" s="10"/>
      <c r="BJ331" s="10"/>
      <c r="BK331" s="10"/>
      <c r="BL331" s="10"/>
      <c r="BM331" s="10"/>
      <c r="BN331" s="10"/>
      <c r="BO331" s="10"/>
      <c r="BP331" s="10"/>
      <c r="BQ331" s="10"/>
      <c r="BR331" s="10"/>
      <c r="BS331" s="10"/>
      <c r="BT331" s="10"/>
      <c r="BU331" s="10"/>
      <c r="BV331" s="10"/>
      <c r="BW331" s="10"/>
      <c r="BX331" s="10"/>
      <c r="BY331" s="10"/>
      <c r="BZ331" s="10"/>
      <c r="CA331" s="10"/>
      <c r="CB331" s="10"/>
      <c r="CC331" s="10"/>
      <c r="CD331" s="10"/>
      <c r="CE331" s="10"/>
      <c r="CF331" s="10"/>
      <c r="CG331" s="10"/>
      <c r="CH331" s="10"/>
      <c r="CI331" s="10"/>
      <c r="CJ331" s="10"/>
      <c r="CK331" s="10"/>
      <c r="CL331" s="10"/>
      <c r="CM331" s="10"/>
      <c r="CN331" s="10"/>
      <c r="CO331" s="10"/>
      <c r="CP331" s="10"/>
      <c r="CQ331" s="10"/>
      <c r="CR331" s="10"/>
      <c r="CS331" s="10"/>
      <c r="CT331" s="10"/>
      <c r="CU331" s="10"/>
      <c r="CV331" s="10"/>
      <c r="CW331" s="10"/>
      <c r="CX331" s="10"/>
      <c r="CY331" s="10"/>
      <c r="CZ331" s="10"/>
      <c r="DA331" s="10"/>
      <c r="DB331" s="10"/>
      <c r="DC331" s="10"/>
      <c r="DD331" s="10"/>
      <c r="DE331" s="10"/>
      <c r="DF331" s="10"/>
      <c r="DG331" s="10"/>
      <c r="DH331" s="10"/>
    </row>
    <row r="332" spans="1:112" ht="15.75" customHeight="1" x14ac:dyDescent="0.3">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0"/>
      <c r="BC332" s="10"/>
      <c r="BD332" s="10"/>
      <c r="BE332" s="10"/>
      <c r="BF332" s="10"/>
      <c r="BG332" s="10"/>
      <c r="BH332" s="10"/>
      <c r="BI332" s="10"/>
      <c r="BJ332" s="10"/>
      <c r="BK332" s="10"/>
      <c r="BL332" s="10"/>
      <c r="BM332" s="10"/>
      <c r="BN332" s="10"/>
      <c r="BO332" s="10"/>
      <c r="BP332" s="10"/>
      <c r="BQ332" s="10"/>
      <c r="BR332" s="10"/>
      <c r="BS332" s="10"/>
      <c r="BT332" s="10"/>
      <c r="BU332" s="10"/>
      <c r="BV332" s="10"/>
      <c r="BW332" s="10"/>
      <c r="BX332" s="10"/>
      <c r="BY332" s="10"/>
      <c r="BZ332" s="10"/>
      <c r="CA332" s="10"/>
      <c r="CB332" s="10"/>
      <c r="CC332" s="10"/>
      <c r="CD332" s="10"/>
      <c r="CE332" s="10"/>
      <c r="CF332" s="10"/>
      <c r="CG332" s="10"/>
      <c r="CH332" s="10"/>
      <c r="CI332" s="10"/>
      <c r="CJ332" s="10"/>
      <c r="CK332" s="10"/>
      <c r="CL332" s="10"/>
      <c r="CM332" s="10"/>
      <c r="CN332" s="10"/>
      <c r="CO332" s="10"/>
      <c r="CP332" s="10"/>
      <c r="CQ332" s="10"/>
      <c r="CR332" s="10"/>
      <c r="CS332" s="10"/>
      <c r="CT332" s="10"/>
      <c r="CU332" s="10"/>
      <c r="CV332" s="10"/>
      <c r="CW332" s="10"/>
      <c r="CX332" s="10"/>
      <c r="CY332" s="10"/>
      <c r="CZ332" s="10"/>
      <c r="DA332" s="10"/>
      <c r="DB332" s="10"/>
      <c r="DC332" s="10"/>
      <c r="DD332" s="10"/>
      <c r="DE332" s="10"/>
      <c r="DF332" s="10"/>
      <c r="DG332" s="10"/>
      <c r="DH332" s="10"/>
    </row>
    <row r="333" spans="1:112" ht="15.75" customHeight="1" x14ac:dyDescent="0.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0"/>
      <c r="BC333" s="10"/>
      <c r="BD333" s="10"/>
      <c r="BE333" s="10"/>
      <c r="BF333" s="10"/>
      <c r="BG333" s="10"/>
      <c r="BH333" s="10"/>
      <c r="BI333" s="10"/>
      <c r="BJ333" s="10"/>
      <c r="BK333" s="10"/>
      <c r="BL333" s="10"/>
      <c r="BM333" s="10"/>
      <c r="BN333" s="10"/>
      <c r="BO333" s="10"/>
      <c r="BP333" s="10"/>
      <c r="BQ333" s="10"/>
      <c r="BR333" s="10"/>
      <c r="BS333" s="10"/>
      <c r="BT333" s="10"/>
      <c r="BU333" s="10"/>
      <c r="BV333" s="10"/>
      <c r="BW333" s="10"/>
      <c r="BX333" s="10"/>
      <c r="BY333" s="10"/>
      <c r="BZ333" s="10"/>
      <c r="CA333" s="10"/>
      <c r="CB333" s="10"/>
      <c r="CC333" s="10"/>
      <c r="CD333" s="10"/>
      <c r="CE333" s="10"/>
      <c r="CF333" s="10"/>
      <c r="CG333" s="10"/>
      <c r="CH333" s="10"/>
      <c r="CI333" s="10"/>
      <c r="CJ333" s="10"/>
      <c r="CK333" s="10"/>
      <c r="CL333" s="10"/>
      <c r="CM333" s="10"/>
      <c r="CN333" s="10"/>
      <c r="CO333" s="10"/>
      <c r="CP333" s="10"/>
      <c r="CQ333" s="10"/>
      <c r="CR333" s="10"/>
      <c r="CS333" s="10"/>
      <c r="CT333" s="10"/>
      <c r="CU333" s="10"/>
      <c r="CV333" s="10"/>
      <c r="CW333" s="10"/>
      <c r="CX333" s="10"/>
      <c r="CY333" s="10"/>
      <c r="CZ333" s="10"/>
      <c r="DA333" s="10"/>
      <c r="DB333" s="10"/>
      <c r="DC333" s="10"/>
      <c r="DD333" s="10"/>
      <c r="DE333" s="10"/>
      <c r="DF333" s="10"/>
      <c r="DG333" s="10"/>
      <c r="DH333" s="10"/>
    </row>
    <row r="334" spans="1:112" ht="15.75" customHeight="1" x14ac:dyDescent="0.3">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0"/>
      <c r="BC334" s="10"/>
      <c r="BD334" s="10"/>
      <c r="BE334" s="10"/>
      <c r="BF334" s="10"/>
      <c r="BG334" s="10"/>
      <c r="BH334" s="10"/>
      <c r="BI334" s="10"/>
      <c r="BJ334" s="10"/>
      <c r="BK334" s="10"/>
      <c r="BL334" s="10"/>
      <c r="BM334" s="10"/>
      <c r="BN334" s="10"/>
      <c r="BO334" s="10"/>
      <c r="BP334" s="10"/>
      <c r="BQ334" s="10"/>
      <c r="BR334" s="10"/>
      <c r="BS334" s="10"/>
      <c r="BT334" s="10"/>
      <c r="BU334" s="10"/>
      <c r="BV334" s="10"/>
      <c r="BW334" s="10"/>
      <c r="BX334" s="10"/>
      <c r="BY334" s="10"/>
      <c r="BZ334" s="10"/>
      <c r="CA334" s="10"/>
      <c r="CB334" s="10"/>
      <c r="CC334" s="10"/>
      <c r="CD334" s="10"/>
      <c r="CE334" s="10"/>
      <c r="CF334" s="10"/>
      <c r="CG334" s="10"/>
      <c r="CH334" s="10"/>
      <c r="CI334" s="10"/>
      <c r="CJ334" s="10"/>
      <c r="CK334" s="10"/>
      <c r="CL334" s="10"/>
      <c r="CM334" s="10"/>
      <c r="CN334" s="10"/>
      <c r="CO334" s="10"/>
      <c r="CP334" s="10"/>
      <c r="CQ334" s="10"/>
      <c r="CR334" s="10"/>
      <c r="CS334" s="10"/>
      <c r="CT334" s="10"/>
      <c r="CU334" s="10"/>
      <c r="CV334" s="10"/>
      <c r="CW334" s="10"/>
      <c r="CX334" s="10"/>
      <c r="CY334" s="10"/>
      <c r="CZ334" s="10"/>
      <c r="DA334" s="10"/>
      <c r="DB334" s="10"/>
      <c r="DC334" s="10"/>
      <c r="DD334" s="10"/>
      <c r="DE334" s="10"/>
      <c r="DF334" s="10"/>
      <c r="DG334" s="10"/>
      <c r="DH334" s="10"/>
    </row>
    <row r="335" spans="1:112" ht="15.75" customHeight="1" x14ac:dyDescent="0.3">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0"/>
      <c r="BC335" s="10"/>
      <c r="BD335" s="10"/>
      <c r="BE335" s="10"/>
      <c r="BF335" s="10"/>
      <c r="BG335" s="10"/>
      <c r="BH335" s="10"/>
      <c r="BI335" s="10"/>
      <c r="BJ335" s="10"/>
      <c r="BK335" s="10"/>
      <c r="BL335" s="10"/>
      <c r="BM335" s="10"/>
      <c r="BN335" s="10"/>
      <c r="BO335" s="10"/>
      <c r="BP335" s="10"/>
      <c r="BQ335" s="10"/>
      <c r="BR335" s="10"/>
      <c r="BS335" s="10"/>
      <c r="BT335" s="10"/>
      <c r="BU335" s="10"/>
      <c r="BV335" s="10"/>
      <c r="BW335" s="10"/>
      <c r="BX335" s="10"/>
      <c r="BY335" s="10"/>
      <c r="BZ335" s="10"/>
      <c r="CA335" s="10"/>
      <c r="CB335" s="10"/>
      <c r="CC335" s="10"/>
      <c r="CD335" s="10"/>
      <c r="CE335" s="10"/>
      <c r="CF335" s="10"/>
      <c r="CG335" s="10"/>
      <c r="CH335" s="10"/>
      <c r="CI335" s="10"/>
      <c r="CJ335" s="10"/>
      <c r="CK335" s="10"/>
      <c r="CL335" s="10"/>
      <c r="CM335" s="10"/>
      <c r="CN335" s="10"/>
      <c r="CO335" s="10"/>
      <c r="CP335" s="10"/>
      <c r="CQ335" s="10"/>
      <c r="CR335" s="10"/>
      <c r="CS335" s="10"/>
      <c r="CT335" s="10"/>
      <c r="CU335" s="10"/>
      <c r="CV335" s="10"/>
      <c r="CW335" s="10"/>
      <c r="CX335" s="10"/>
      <c r="CY335" s="10"/>
      <c r="CZ335" s="10"/>
      <c r="DA335" s="10"/>
      <c r="DB335" s="10"/>
      <c r="DC335" s="10"/>
      <c r="DD335" s="10"/>
      <c r="DE335" s="10"/>
      <c r="DF335" s="10"/>
      <c r="DG335" s="10"/>
      <c r="DH335" s="10"/>
    </row>
    <row r="336" spans="1:112" ht="15.75" customHeight="1" x14ac:dyDescent="0.3">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0"/>
      <c r="BC336" s="10"/>
      <c r="BD336" s="10"/>
      <c r="BE336" s="10"/>
      <c r="BF336" s="10"/>
      <c r="BG336" s="10"/>
      <c r="BH336" s="10"/>
      <c r="BI336" s="10"/>
      <c r="BJ336" s="10"/>
      <c r="BK336" s="10"/>
      <c r="BL336" s="10"/>
      <c r="BM336" s="10"/>
      <c r="BN336" s="10"/>
      <c r="BO336" s="10"/>
      <c r="BP336" s="10"/>
      <c r="BQ336" s="10"/>
      <c r="BR336" s="10"/>
      <c r="BS336" s="10"/>
      <c r="BT336" s="10"/>
      <c r="BU336" s="10"/>
      <c r="BV336" s="10"/>
      <c r="BW336" s="10"/>
      <c r="BX336" s="10"/>
      <c r="BY336" s="10"/>
      <c r="BZ336" s="10"/>
      <c r="CA336" s="10"/>
      <c r="CB336" s="10"/>
      <c r="CC336" s="10"/>
      <c r="CD336" s="10"/>
      <c r="CE336" s="10"/>
      <c r="CF336" s="10"/>
      <c r="CG336" s="10"/>
      <c r="CH336" s="10"/>
      <c r="CI336" s="10"/>
      <c r="CJ336" s="10"/>
      <c r="CK336" s="10"/>
      <c r="CL336" s="10"/>
      <c r="CM336" s="10"/>
      <c r="CN336" s="10"/>
      <c r="CO336" s="10"/>
      <c r="CP336" s="10"/>
      <c r="CQ336" s="10"/>
      <c r="CR336" s="10"/>
      <c r="CS336" s="10"/>
      <c r="CT336" s="10"/>
      <c r="CU336" s="10"/>
      <c r="CV336" s="10"/>
      <c r="CW336" s="10"/>
      <c r="CX336" s="10"/>
      <c r="CY336" s="10"/>
      <c r="CZ336" s="10"/>
      <c r="DA336" s="10"/>
      <c r="DB336" s="10"/>
      <c r="DC336" s="10"/>
      <c r="DD336" s="10"/>
      <c r="DE336" s="10"/>
      <c r="DF336" s="10"/>
      <c r="DG336" s="10"/>
      <c r="DH336" s="10"/>
    </row>
    <row r="337" spans="1:112" ht="15.75" customHeight="1" x14ac:dyDescent="0.3">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0"/>
      <c r="BC337" s="10"/>
      <c r="BD337" s="10"/>
      <c r="BE337" s="10"/>
      <c r="BF337" s="10"/>
      <c r="BG337" s="10"/>
      <c r="BH337" s="10"/>
      <c r="BI337" s="10"/>
      <c r="BJ337" s="10"/>
      <c r="BK337" s="10"/>
      <c r="BL337" s="10"/>
      <c r="BM337" s="10"/>
      <c r="BN337" s="10"/>
      <c r="BO337" s="10"/>
      <c r="BP337" s="10"/>
      <c r="BQ337" s="10"/>
      <c r="BR337" s="10"/>
      <c r="BS337" s="10"/>
      <c r="BT337" s="10"/>
      <c r="BU337" s="10"/>
      <c r="BV337" s="10"/>
      <c r="BW337" s="10"/>
      <c r="BX337" s="10"/>
      <c r="BY337" s="10"/>
      <c r="BZ337" s="10"/>
      <c r="CA337" s="10"/>
      <c r="CB337" s="10"/>
      <c r="CC337" s="10"/>
      <c r="CD337" s="10"/>
      <c r="CE337" s="10"/>
      <c r="CF337" s="10"/>
      <c r="CG337" s="10"/>
      <c r="CH337" s="10"/>
      <c r="CI337" s="10"/>
      <c r="CJ337" s="10"/>
      <c r="CK337" s="10"/>
      <c r="CL337" s="10"/>
      <c r="CM337" s="10"/>
      <c r="CN337" s="10"/>
      <c r="CO337" s="10"/>
      <c r="CP337" s="10"/>
      <c r="CQ337" s="10"/>
      <c r="CR337" s="10"/>
      <c r="CS337" s="10"/>
      <c r="CT337" s="10"/>
      <c r="CU337" s="10"/>
      <c r="CV337" s="10"/>
      <c r="CW337" s="10"/>
      <c r="CX337" s="10"/>
      <c r="CY337" s="10"/>
      <c r="CZ337" s="10"/>
      <c r="DA337" s="10"/>
      <c r="DB337" s="10"/>
      <c r="DC337" s="10"/>
      <c r="DD337" s="10"/>
      <c r="DE337" s="10"/>
      <c r="DF337" s="10"/>
      <c r="DG337" s="10"/>
      <c r="DH337" s="10"/>
    </row>
    <row r="338" spans="1:112" ht="15.75" customHeight="1" x14ac:dyDescent="0.3">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0"/>
      <c r="BC338" s="10"/>
      <c r="BD338" s="10"/>
      <c r="BE338" s="10"/>
      <c r="BF338" s="10"/>
      <c r="BG338" s="10"/>
      <c r="BH338" s="10"/>
      <c r="BI338" s="10"/>
      <c r="BJ338" s="10"/>
      <c r="BK338" s="10"/>
      <c r="BL338" s="10"/>
      <c r="BM338" s="10"/>
      <c r="BN338" s="10"/>
      <c r="BO338" s="10"/>
      <c r="BP338" s="10"/>
      <c r="BQ338" s="10"/>
      <c r="BR338" s="10"/>
      <c r="BS338" s="10"/>
      <c r="BT338" s="10"/>
      <c r="BU338" s="10"/>
      <c r="BV338" s="10"/>
      <c r="BW338" s="10"/>
      <c r="BX338" s="10"/>
      <c r="BY338" s="10"/>
      <c r="BZ338" s="10"/>
      <c r="CA338" s="10"/>
      <c r="CB338" s="10"/>
      <c r="CC338" s="10"/>
      <c r="CD338" s="10"/>
      <c r="CE338" s="10"/>
      <c r="CF338" s="10"/>
      <c r="CG338" s="10"/>
      <c r="CH338" s="10"/>
      <c r="CI338" s="10"/>
      <c r="CJ338" s="10"/>
      <c r="CK338" s="10"/>
      <c r="CL338" s="10"/>
      <c r="CM338" s="10"/>
      <c r="CN338" s="10"/>
      <c r="CO338" s="10"/>
      <c r="CP338" s="10"/>
      <c r="CQ338" s="10"/>
      <c r="CR338" s="10"/>
      <c r="CS338" s="10"/>
      <c r="CT338" s="10"/>
      <c r="CU338" s="10"/>
      <c r="CV338" s="10"/>
      <c r="CW338" s="10"/>
      <c r="CX338" s="10"/>
      <c r="CY338" s="10"/>
      <c r="CZ338" s="10"/>
      <c r="DA338" s="10"/>
      <c r="DB338" s="10"/>
      <c r="DC338" s="10"/>
      <c r="DD338" s="10"/>
      <c r="DE338" s="10"/>
      <c r="DF338" s="10"/>
      <c r="DG338" s="10"/>
      <c r="DH338" s="10"/>
    </row>
    <row r="339" spans="1:112" ht="15.75" customHeight="1" x14ac:dyDescent="0.3">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0"/>
      <c r="BC339" s="10"/>
      <c r="BD339" s="10"/>
      <c r="BE339" s="10"/>
      <c r="BF339" s="10"/>
      <c r="BG339" s="10"/>
      <c r="BH339" s="10"/>
      <c r="BI339" s="10"/>
      <c r="BJ339" s="10"/>
      <c r="BK339" s="10"/>
      <c r="BL339" s="10"/>
      <c r="BM339" s="10"/>
      <c r="BN339" s="10"/>
      <c r="BO339" s="10"/>
      <c r="BP339" s="10"/>
      <c r="BQ339" s="10"/>
      <c r="BR339" s="10"/>
      <c r="BS339" s="10"/>
      <c r="BT339" s="10"/>
      <c r="BU339" s="10"/>
      <c r="BV339" s="10"/>
      <c r="BW339" s="10"/>
      <c r="BX339" s="10"/>
      <c r="BY339" s="10"/>
      <c r="BZ339" s="10"/>
      <c r="CA339" s="10"/>
      <c r="CB339" s="10"/>
      <c r="CC339" s="10"/>
      <c r="CD339" s="10"/>
      <c r="CE339" s="10"/>
      <c r="CF339" s="10"/>
      <c r="CG339" s="10"/>
      <c r="CH339" s="10"/>
      <c r="CI339" s="10"/>
      <c r="CJ339" s="10"/>
      <c r="CK339" s="10"/>
      <c r="CL339" s="10"/>
      <c r="CM339" s="10"/>
      <c r="CN339" s="10"/>
      <c r="CO339" s="10"/>
      <c r="CP339" s="10"/>
      <c r="CQ339" s="10"/>
      <c r="CR339" s="10"/>
      <c r="CS339" s="10"/>
      <c r="CT339" s="10"/>
      <c r="CU339" s="10"/>
      <c r="CV339" s="10"/>
      <c r="CW339" s="10"/>
      <c r="CX339" s="10"/>
      <c r="CY339" s="10"/>
      <c r="CZ339" s="10"/>
      <c r="DA339" s="10"/>
      <c r="DB339" s="10"/>
      <c r="DC339" s="10"/>
      <c r="DD339" s="10"/>
      <c r="DE339" s="10"/>
      <c r="DF339" s="10"/>
      <c r="DG339" s="10"/>
      <c r="DH339" s="10"/>
    </row>
    <row r="340" spans="1:112" ht="15.75" customHeight="1" x14ac:dyDescent="0.3">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0"/>
      <c r="BC340" s="10"/>
      <c r="BD340" s="10"/>
      <c r="BE340" s="10"/>
      <c r="BF340" s="10"/>
      <c r="BG340" s="10"/>
      <c r="BH340" s="10"/>
      <c r="BI340" s="10"/>
      <c r="BJ340" s="10"/>
      <c r="BK340" s="10"/>
      <c r="BL340" s="10"/>
      <c r="BM340" s="10"/>
      <c r="BN340" s="10"/>
      <c r="BO340" s="10"/>
      <c r="BP340" s="10"/>
      <c r="BQ340" s="10"/>
      <c r="BR340" s="10"/>
      <c r="BS340" s="10"/>
      <c r="BT340" s="10"/>
      <c r="BU340" s="10"/>
      <c r="BV340" s="10"/>
      <c r="BW340" s="10"/>
      <c r="BX340" s="10"/>
      <c r="BY340" s="10"/>
      <c r="BZ340" s="10"/>
      <c r="CA340" s="10"/>
      <c r="CB340" s="10"/>
      <c r="CC340" s="10"/>
      <c r="CD340" s="10"/>
      <c r="CE340" s="10"/>
      <c r="CF340" s="10"/>
      <c r="CG340" s="10"/>
      <c r="CH340" s="10"/>
      <c r="CI340" s="10"/>
      <c r="CJ340" s="10"/>
      <c r="CK340" s="10"/>
      <c r="CL340" s="10"/>
      <c r="CM340" s="10"/>
      <c r="CN340" s="10"/>
      <c r="CO340" s="10"/>
      <c r="CP340" s="10"/>
      <c r="CQ340" s="10"/>
      <c r="CR340" s="10"/>
      <c r="CS340" s="10"/>
      <c r="CT340" s="10"/>
      <c r="CU340" s="10"/>
      <c r="CV340" s="10"/>
      <c r="CW340" s="10"/>
      <c r="CX340" s="10"/>
      <c r="CY340" s="10"/>
      <c r="CZ340" s="10"/>
      <c r="DA340" s="10"/>
      <c r="DB340" s="10"/>
      <c r="DC340" s="10"/>
      <c r="DD340" s="10"/>
      <c r="DE340" s="10"/>
      <c r="DF340" s="10"/>
      <c r="DG340" s="10"/>
      <c r="DH340" s="10"/>
    </row>
    <row r="341" spans="1:112" ht="15.75" customHeight="1" x14ac:dyDescent="0.3">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0"/>
      <c r="BC341" s="10"/>
      <c r="BD341" s="10"/>
      <c r="BE341" s="10"/>
      <c r="BF341" s="10"/>
      <c r="BG341" s="10"/>
      <c r="BH341" s="10"/>
      <c r="BI341" s="10"/>
      <c r="BJ341" s="10"/>
      <c r="BK341" s="10"/>
      <c r="BL341" s="10"/>
      <c r="BM341" s="10"/>
      <c r="BN341" s="10"/>
      <c r="BO341" s="10"/>
      <c r="BP341" s="10"/>
      <c r="BQ341" s="10"/>
      <c r="BR341" s="10"/>
      <c r="BS341" s="10"/>
      <c r="BT341" s="10"/>
      <c r="BU341" s="10"/>
      <c r="BV341" s="10"/>
      <c r="BW341" s="10"/>
      <c r="BX341" s="10"/>
      <c r="BY341" s="10"/>
      <c r="BZ341" s="10"/>
      <c r="CA341" s="10"/>
      <c r="CB341" s="10"/>
      <c r="CC341" s="10"/>
      <c r="CD341" s="10"/>
      <c r="CE341" s="10"/>
      <c r="CF341" s="10"/>
      <c r="CG341" s="10"/>
      <c r="CH341" s="10"/>
      <c r="CI341" s="10"/>
      <c r="CJ341" s="10"/>
      <c r="CK341" s="10"/>
      <c r="CL341" s="10"/>
      <c r="CM341" s="10"/>
      <c r="CN341" s="10"/>
      <c r="CO341" s="10"/>
      <c r="CP341" s="10"/>
      <c r="CQ341" s="10"/>
      <c r="CR341" s="10"/>
      <c r="CS341" s="10"/>
      <c r="CT341" s="10"/>
      <c r="CU341" s="10"/>
      <c r="CV341" s="10"/>
      <c r="CW341" s="10"/>
      <c r="CX341" s="10"/>
      <c r="CY341" s="10"/>
      <c r="CZ341" s="10"/>
      <c r="DA341" s="10"/>
      <c r="DB341" s="10"/>
      <c r="DC341" s="10"/>
      <c r="DD341" s="10"/>
      <c r="DE341" s="10"/>
      <c r="DF341" s="10"/>
      <c r="DG341" s="10"/>
      <c r="DH341" s="10"/>
    </row>
    <row r="342" spans="1:112" ht="15.75" customHeight="1" x14ac:dyDescent="0.3">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0"/>
      <c r="BC342" s="10"/>
      <c r="BD342" s="10"/>
      <c r="BE342" s="10"/>
      <c r="BF342" s="10"/>
      <c r="BG342" s="10"/>
      <c r="BH342" s="10"/>
      <c r="BI342" s="10"/>
      <c r="BJ342" s="10"/>
      <c r="BK342" s="10"/>
      <c r="BL342" s="10"/>
      <c r="BM342" s="10"/>
      <c r="BN342" s="10"/>
      <c r="BO342" s="10"/>
      <c r="BP342" s="10"/>
      <c r="BQ342" s="10"/>
      <c r="BR342" s="10"/>
      <c r="BS342" s="10"/>
      <c r="BT342" s="10"/>
      <c r="BU342" s="10"/>
      <c r="BV342" s="10"/>
      <c r="BW342" s="10"/>
      <c r="BX342" s="10"/>
      <c r="BY342" s="10"/>
      <c r="BZ342" s="10"/>
      <c r="CA342" s="10"/>
      <c r="CB342" s="10"/>
      <c r="CC342" s="10"/>
      <c r="CD342" s="10"/>
      <c r="CE342" s="10"/>
      <c r="CF342" s="10"/>
      <c r="CG342" s="10"/>
      <c r="CH342" s="10"/>
      <c r="CI342" s="10"/>
      <c r="CJ342" s="10"/>
      <c r="CK342" s="10"/>
      <c r="CL342" s="10"/>
      <c r="CM342" s="10"/>
      <c r="CN342" s="10"/>
      <c r="CO342" s="10"/>
      <c r="CP342" s="10"/>
      <c r="CQ342" s="10"/>
      <c r="CR342" s="10"/>
      <c r="CS342" s="10"/>
      <c r="CT342" s="10"/>
      <c r="CU342" s="10"/>
      <c r="CV342" s="10"/>
      <c r="CW342" s="10"/>
      <c r="CX342" s="10"/>
      <c r="CY342" s="10"/>
      <c r="CZ342" s="10"/>
      <c r="DA342" s="10"/>
      <c r="DB342" s="10"/>
      <c r="DC342" s="10"/>
      <c r="DD342" s="10"/>
      <c r="DE342" s="10"/>
      <c r="DF342" s="10"/>
      <c r="DG342" s="10"/>
      <c r="DH342" s="10"/>
    </row>
    <row r="343" spans="1:112" ht="15.75" customHeight="1" x14ac:dyDescent="0.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0"/>
      <c r="BC343" s="10"/>
      <c r="BD343" s="10"/>
      <c r="BE343" s="10"/>
      <c r="BF343" s="10"/>
      <c r="BG343" s="10"/>
      <c r="BH343" s="10"/>
      <c r="BI343" s="10"/>
      <c r="BJ343" s="10"/>
      <c r="BK343" s="10"/>
      <c r="BL343" s="10"/>
      <c r="BM343" s="10"/>
      <c r="BN343" s="10"/>
      <c r="BO343" s="10"/>
      <c r="BP343" s="10"/>
      <c r="BQ343" s="10"/>
      <c r="BR343" s="10"/>
      <c r="BS343" s="10"/>
      <c r="BT343" s="10"/>
      <c r="BU343" s="10"/>
      <c r="BV343" s="10"/>
      <c r="BW343" s="10"/>
      <c r="BX343" s="10"/>
      <c r="BY343" s="10"/>
      <c r="BZ343" s="10"/>
      <c r="CA343" s="10"/>
      <c r="CB343" s="10"/>
      <c r="CC343" s="10"/>
      <c r="CD343" s="10"/>
      <c r="CE343" s="10"/>
      <c r="CF343" s="10"/>
      <c r="CG343" s="10"/>
      <c r="CH343" s="10"/>
      <c r="CI343" s="10"/>
      <c r="CJ343" s="10"/>
      <c r="CK343" s="10"/>
      <c r="CL343" s="10"/>
      <c r="CM343" s="10"/>
      <c r="CN343" s="10"/>
      <c r="CO343" s="10"/>
      <c r="CP343" s="10"/>
      <c r="CQ343" s="10"/>
      <c r="CR343" s="10"/>
      <c r="CS343" s="10"/>
      <c r="CT343" s="10"/>
      <c r="CU343" s="10"/>
      <c r="CV343" s="10"/>
      <c r="CW343" s="10"/>
      <c r="CX343" s="10"/>
      <c r="CY343" s="10"/>
      <c r="CZ343" s="10"/>
      <c r="DA343" s="10"/>
      <c r="DB343" s="10"/>
      <c r="DC343" s="10"/>
      <c r="DD343" s="10"/>
      <c r="DE343" s="10"/>
      <c r="DF343" s="10"/>
      <c r="DG343" s="10"/>
      <c r="DH343" s="10"/>
    </row>
    <row r="344" spans="1:112" ht="15.75" customHeight="1" x14ac:dyDescent="0.3">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0"/>
      <c r="BC344" s="10"/>
      <c r="BD344" s="10"/>
      <c r="BE344" s="10"/>
      <c r="BF344" s="10"/>
      <c r="BG344" s="10"/>
      <c r="BH344" s="10"/>
      <c r="BI344" s="10"/>
      <c r="BJ344" s="10"/>
      <c r="BK344" s="10"/>
      <c r="BL344" s="10"/>
      <c r="BM344" s="10"/>
      <c r="BN344" s="10"/>
      <c r="BO344" s="10"/>
      <c r="BP344" s="10"/>
      <c r="BQ344" s="10"/>
      <c r="BR344" s="10"/>
      <c r="BS344" s="10"/>
      <c r="BT344" s="10"/>
      <c r="BU344" s="10"/>
      <c r="BV344" s="10"/>
      <c r="BW344" s="10"/>
      <c r="BX344" s="10"/>
      <c r="BY344" s="10"/>
      <c r="BZ344" s="10"/>
      <c r="CA344" s="10"/>
      <c r="CB344" s="10"/>
      <c r="CC344" s="10"/>
      <c r="CD344" s="10"/>
      <c r="CE344" s="10"/>
      <c r="CF344" s="10"/>
      <c r="CG344" s="10"/>
      <c r="CH344" s="10"/>
      <c r="CI344" s="10"/>
      <c r="CJ344" s="10"/>
      <c r="CK344" s="10"/>
      <c r="CL344" s="10"/>
      <c r="CM344" s="10"/>
      <c r="CN344" s="10"/>
      <c r="CO344" s="10"/>
      <c r="CP344" s="10"/>
      <c r="CQ344" s="10"/>
      <c r="CR344" s="10"/>
      <c r="CS344" s="10"/>
      <c r="CT344" s="10"/>
      <c r="CU344" s="10"/>
      <c r="CV344" s="10"/>
      <c r="CW344" s="10"/>
      <c r="CX344" s="10"/>
      <c r="CY344" s="10"/>
      <c r="CZ344" s="10"/>
      <c r="DA344" s="10"/>
      <c r="DB344" s="10"/>
      <c r="DC344" s="10"/>
      <c r="DD344" s="10"/>
      <c r="DE344" s="10"/>
      <c r="DF344" s="10"/>
      <c r="DG344" s="10"/>
      <c r="DH344" s="10"/>
    </row>
    <row r="345" spans="1:112" ht="15.75" customHeight="1" x14ac:dyDescent="0.3">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0"/>
      <c r="BC345" s="10"/>
      <c r="BD345" s="10"/>
      <c r="BE345" s="10"/>
      <c r="BF345" s="10"/>
      <c r="BG345" s="10"/>
      <c r="BH345" s="10"/>
      <c r="BI345" s="10"/>
      <c r="BJ345" s="10"/>
      <c r="BK345" s="10"/>
      <c r="BL345" s="10"/>
      <c r="BM345" s="10"/>
      <c r="BN345" s="10"/>
      <c r="BO345" s="10"/>
      <c r="BP345" s="10"/>
      <c r="BQ345" s="10"/>
      <c r="BR345" s="10"/>
      <c r="BS345" s="10"/>
      <c r="BT345" s="10"/>
      <c r="BU345" s="10"/>
      <c r="BV345" s="10"/>
      <c r="BW345" s="10"/>
      <c r="BX345" s="10"/>
      <c r="BY345" s="10"/>
      <c r="BZ345" s="10"/>
      <c r="CA345" s="10"/>
      <c r="CB345" s="10"/>
      <c r="CC345" s="10"/>
      <c r="CD345" s="10"/>
      <c r="CE345" s="10"/>
      <c r="CF345" s="10"/>
      <c r="CG345" s="10"/>
      <c r="CH345" s="10"/>
      <c r="CI345" s="10"/>
      <c r="CJ345" s="10"/>
      <c r="CK345" s="10"/>
      <c r="CL345" s="10"/>
      <c r="CM345" s="10"/>
      <c r="CN345" s="10"/>
      <c r="CO345" s="10"/>
      <c r="CP345" s="10"/>
      <c r="CQ345" s="10"/>
      <c r="CR345" s="10"/>
      <c r="CS345" s="10"/>
      <c r="CT345" s="10"/>
      <c r="CU345" s="10"/>
      <c r="CV345" s="10"/>
      <c r="CW345" s="10"/>
      <c r="CX345" s="10"/>
      <c r="CY345" s="10"/>
      <c r="CZ345" s="10"/>
      <c r="DA345" s="10"/>
      <c r="DB345" s="10"/>
      <c r="DC345" s="10"/>
      <c r="DD345" s="10"/>
      <c r="DE345" s="10"/>
      <c r="DF345" s="10"/>
      <c r="DG345" s="10"/>
      <c r="DH345" s="10"/>
    </row>
    <row r="346" spans="1:112" ht="15.75" customHeight="1" x14ac:dyDescent="0.3">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0"/>
      <c r="BC346" s="10"/>
      <c r="BD346" s="10"/>
      <c r="BE346" s="10"/>
      <c r="BF346" s="10"/>
      <c r="BG346" s="10"/>
      <c r="BH346" s="10"/>
      <c r="BI346" s="10"/>
      <c r="BJ346" s="10"/>
      <c r="BK346" s="10"/>
      <c r="BL346" s="10"/>
      <c r="BM346" s="10"/>
      <c r="BN346" s="10"/>
      <c r="BO346" s="10"/>
      <c r="BP346" s="10"/>
      <c r="BQ346" s="10"/>
      <c r="BR346" s="10"/>
      <c r="BS346" s="10"/>
      <c r="BT346" s="10"/>
      <c r="BU346" s="10"/>
      <c r="BV346" s="10"/>
      <c r="BW346" s="10"/>
      <c r="BX346" s="10"/>
      <c r="BY346" s="10"/>
      <c r="BZ346" s="10"/>
      <c r="CA346" s="10"/>
      <c r="CB346" s="10"/>
      <c r="CC346" s="10"/>
      <c r="CD346" s="10"/>
      <c r="CE346" s="10"/>
      <c r="CF346" s="10"/>
      <c r="CG346" s="10"/>
      <c r="CH346" s="10"/>
      <c r="CI346" s="10"/>
      <c r="CJ346" s="10"/>
      <c r="CK346" s="10"/>
      <c r="CL346" s="10"/>
      <c r="CM346" s="10"/>
      <c r="CN346" s="10"/>
      <c r="CO346" s="10"/>
      <c r="CP346" s="10"/>
      <c r="CQ346" s="10"/>
      <c r="CR346" s="10"/>
      <c r="CS346" s="10"/>
      <c r="CT346" s="10"/>
      <c r="CU346" s="10"/>
      <c r="CV346" s="10"/>
      <c r="CW346" s="10"/>
      <c r="CX346" s="10"/>
      <c r="CY346" s="10"/>
      <c r="CZ346" s="10"/>
      <c r="DA346" s="10"/>
      <c r="DB346" s="10"/>
      <c r="DC346" s="10"/>
      <c r="DD346" s="10"/>
      <c r="DE346" s="10"/>
      <c r="DF346" s="10"/>
      <c r="DG346" s="10"/>
      <c r="DH346" s="10"/>
    </row>
    <row r="347" spans="1:112" ht="15.75" customHeight="1" x14ac:dyDescent="0.3">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0"/>
      <c r="BC347" s="10"/>
      <c r="BD347" s="10"/>
      <c r="BE347" s="10"/>
      <c r="BF347" s="10"/>
      <c r="BG347" s="10"/>
      <c r="BH347" s="10"/>
      <c r="BI347" s="10"/>
      <c r="BJ347" s="10"/>
      <c r="BK347" s="10"/>
      <c r="BL347" s="10"/>
      <c r="BM347" s="10"/>
      <c r="BN347" s="10"/>
      <c r="BO347" s="10"/>
      <c r="BP347" s="10"/>
      <c r="BQ347" s="10"/>
      <c r="BR347" s="10"/>
      <c r="BS347" s="10"/>
      <c r="BT347" s="10"/>
      <c r="BU347" s="10"/>
      <c r="BV347" s="10"/>
      <c r="BW347" s="10"/>
      <c r="BX347" s="10"/>
      <c r="BY347" s="10"/>
      <c r="BZ347" s="10"/>
      <c r="CA347" s="10"/>
      <c r="CB347" s="10"/>
      <c r="CC347" s="10"/>
      <c r="CD347" s="10"/>
      <c r="CE347" s="10"/>
      <c r="CF347" s="10"/>
      <c r="CG347" s="10"/>
      <c r="CH347" s="10"/>
      <c r="CI347" s="10"/>
      <c r="CJ347" s="10"/>
      <c r="CK347" s="10"/>
      <c r="CL347" s="10"/>
      <c r="CM347" s="10"/>
      <c r="CN347" s="10"/>
      <c r="CO347" s="10"/>
      <c r="CP347" s="10"/>
      <c r="CQ347" s="10"/>
      <c r="CR347" s="10"/>
      <c r="CS347" s="10"/>
      <c r="CT347" s="10"/>
      <c r="CU347" s="10"/>
      <c r="CV347" s="10"/>
      <c r="CW347" s="10"/>
      <c r="CX347" s="10"/>
      <c r="CY347" s="10"/>
      <c r="CZ347" s="10"/>
      <c r="DA347" s="10"/>
      <c r="DB347" s="10"/>
      <c r="DC347" s="10"/>
      <c r="DD347" s="10"/>
      <c r="DE347" s="10"/>
      <c r="DF347" s="10"/>
      <c r="DG347" s="10"/>
      <c r="DH347" s="10"/>
    </row>
    <row r="348" spans="1:112" ht="15.75" customHeight="1" x14ac:dyDescent="0.3">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0"/>
      <c r="BC348" s="10"/>
      <c r="BD348" s="10"/>
      <c r="BE348" s="10"/>
      <c r="BF348" s="10"/>
      <c r="BG348" s="10"/>
      <c r="BH348" s="10"/>
      <c r="BI348" s="10"/>
      <c r="BJ348" s="10"/>
      <c r="BK348" s="10"/>
      <c r="BL348" s="10"/>
      <c r="BM348" s="10"/>
      <c r="BN348" s="10"/>
      <c r="BO348" s="10"/>
      <c r="BP348" s="10"/>
      <c r="BQ348" s="10"/>
      <c r="BR348" s="10"/>
      <c r="BS348" s="10"/>
      <c r="BT348" s="10"/>
      <c r="BU348" s="10"/>
      <c r="BV348" s="10"/>
      <c r="BW348" s="10"/>
      <c r="BX348" s="10"/>
      <c r="BY348" s="10"/>
      <c r="BZ348" s="10"/>
      <c r="CA348" s="10"/>
      <c r="CB348" s="10"/>
      <c r="CC348" s="10"/>
      <c r="CD348" s="10"/>
      <c r="CE348" s="10"/>
      <c r="CF348" s="10"/>
      <c r="CG348" s="10"/>
      <c r="CH348" s="10"/>
      <c r="CI348" s="10"/>
      <c r="CJ348" s="10"/>
      <c r="CK348" s="10"/>
      <c r="CL348" s="10"/>
      <c r="CM348" s="10"/>
      <c r="CN348" s="10"/>
      <c r="CO348" s="10"/>
      <c r="CP348" s="10"/>
      <c r="CQ348" s="10"/>
      <c r="CR348" s="10"/>
      <c r="CS348" s="10"/>
      <c r="CT348" s="10"/>
      <c r="CU348" s="10"/>
      <c r="CV348" s="10"/>
      <c r="CW348" s="10"/>
      <c r="CX348" s="10"/>
      <c r="CY348" s="10"/>
      <c r="CZ348" s="10"/>
      <c r="DA348" s="10"/>
      <c r="DB348" s="10"/>
      <c r="DC348" s="10"/>
      <c r="DD348" s="10"/>
      <c r="DE348" s="10"/>
      <c r="DF348" s="10"/>
      <c r="DG348" s="10"/>
      <c r="DH348" s="10"/>
    </row>
    <row r="349" spans="1:112" ht="15.75" customHeight="1" x14ac:dyDescent="0.3">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0"/>
      <c r="BC349" s="10"/>
      <c r="BD349" s="10"/>
      <c r="BE349" s="10"/>
      <c r="BF349" s="10"/>
      <c r="BG349" s="10"/>
      <c r="BH349" s="10"/>
      <c r="BI349" s="10"/>
      <c r="BJ349" s="10"/>
      <c r="BK349" s="10"/>
      <c r="BL349" s="10"/>
      <c r="BM349" s="10"/>
      <c r="BN349" s="10"/>
      <c r="BO349" s="10"/>
      <c r="BP349" s="10"/>
      <c r="BQ349" s="10"/>
      <c r="BR349" s="10"/>
      <c r="BS349" s="10"/>
      <c r="BT349" s="10"/>
      <c r="BU349" s="10"/>
      <c r="BV349" s="10"/>
      <c r="BW349" s="10"/>
      <c r="BX349" s="10"/>
      <c r="BY349" s="10"/>
      <c r="BZ349" s="10"/>
      <c r="CA349" s="10"/>
      <c r="CB349" s="10"/>
      <c r="CC349" s="10"/>
      <c r="CD349" s="10"/>
      <c r="CE349" s="10"/>
      <c r="CF349" s="10"/>
      <c r="CG349" s="10"/>
      <c r="CH349" s="10"/>
      <c r="CI349" s="10"/>
      <c r="CJ349" s="10"/>
      <c r="CK349" s="10"/>
      <c r="CL349" s="10"/>
      <c r="CM349" s="10"/>
      <c r="CN349" s="10"/>
      <c r="CO349" s="10"/>
      <c r="CP349" s="10"/>
      <c r="CQ349" s="10"/>
      <c r="CR349" s="10"/>
      <c r="CS349" s="10"/>
      <c r="CT349" s="10"/>
      <c r="CU349" s="10"/>
      <c r="CV349" s="10"/>
      <c r="CW349" s="10"/>
      <c r="CX349" s="10"/>
      <c r="CY349" s="10"/>
      <c r="CZ349" s="10"/>
      <c r="DA349" s="10"/>
      <c r="DB349" s="10"/>
      <c r="DC349" s="10"/>
      <c r="DD349" s="10"/>
      <c r="DE349" s="10"/>
      <c r="DF349" s="10"/>
      <c r="DG349" s="10"/>
      <c r="DH349" s="10"/>
    </row>
    <row r="350" spans="1:112" ht="15.75" customHeight="1" x14ac:dyDescent="0.3">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0"/>
      <c r="BC350" s="10"/>
      <c r="BD350" s="10"/>
      <c r="BE350" s="10"/>
      <c r="BF350" s="10"/>
      <c r="BG350" s="10"/>
      <c r="BH350" s="10"/>
      <c r="BI350" s="10"/>
      <c r="BJ350" s="10"/>
      <c r="BK350" s="10"/>
      <c r="BL350" s="10"/>
      <c r="BM350" s="10"/>
      <c r="BN350" s="10"/>
      <c r="BO350" s="10"/>
      <c r="BP350" s="10"/>
      <c r="BQ350" s="10"/>
      <c r="BR350" s="10"/>
      <c r="BS350" s="10"/>
      <c r="BT350" s="10"/>
      <c r="BU350" s="10"/>
      <c r="BV350" s="10"/>
      <c r="BW350" s="10"/>
      <c r="BX350" s="10"/>
      <c r="BY350" s="10"/>
      <c r="BZ350" s="10"/>
      <c r="CA350" s="10"/>
      <c r="CB350" s="10"/>
      <c r="CC350" s="10"/>
      <c r="CD350" s="10"/>
      <c r="CE350" s="10"/>
      <c r="CF350" s="10"/>
      <c r="CG350" s="10"/>
      <c r="CH350" s="10"/>
      <c r="CI350" s="10"/>
      <c r="CJ350" s="10"/>
      <c r="CK350" s="10"/>
      <c r="CL350" s="10"/>
      <c r="CM350" s="10"/>
      <c r="CN350" s="10"/>
      <c r="CO350" s="10"/>
      <c r="CP350" s="10"/>
      <c r="CQ350" s="10"/>
      <c r="CR350" s="10"/>
      <c r="CS350" s="10"/>
      <c r="CT350" s="10"/>
      <c r="CU350" s="10"/>
      <c r="CV350" s="10"/>
      <c r="CW350" s="10"/>
      <c r="CX350" s="10"/>
      <c r="CY350" s="10"/>
      <c r="CZ350" s="10"/>
      <c r="DA350" s="10"/>
      <c r="DB350" s="10"/>
      <c r="DC350" s="10"/>
      <c r="DD350" s="10"/>
      <c r="DE350" s="10"/>
      <c r="DF350" s="10"/>
      <c r="DG350" s="10"/>
      <c r="DH350" s="10"/>
    </row>
    <row r="351" spans="1:112" ht="15.75" customHeight="1" x14ac:dyDescent="0.3">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0"/>
      <c r="BC351" s="10"/>
      <c r="BD351" s="10"/>
      <c r="BE351" s="10"/>
      <c r="BF351" s="10"/>
      <c r="BG351" s="10"/>
      <c r="BH351" s="10"/>
      <c r="BI351" s="10"/>
      <c r="BJ351" s="10"/>
      <c r="BK351" s="10"/>
      <c r="BL351" s="10"/>
      <c r="BM351" s="10"/>
      <c r="BN351" s="10"/>
      <c r="BO351" s="10"/>
      <c r="BP351" s="10"/>
      <c r="BQ351" s="10"/>
      <c r="BR351" s="10"/>
      <c r="BS351" s="10"/>
      <c r="BT351" s="10"/>
      <c r="BU351" s="10"/>
      <c r="BV351" s="10"/>
      <c r="BW351" s="10"/>
      <c r="BX351" s="10"/>
      <c r="BY351" s="10"/>
      <c r="BZ351" s="10"/>
      <c r="CA351" s="10"/>
      <c r="CB351" s="10"/>
      <c r="CC351" s="10"/>
      <c r="CD351" s="10"/>
      <c r="CE351" s="10"/>
      <c r="CF351" s="10"/>
      <c r="CG351" s="10"/>
      <c r="CH351" s="10"/>
      <c r="CI351" s="10"/>
      <c r="CJ351" s="10"/>
      <c r="CK351" s="10"/>
      <c r="CL351" s="10"/>
      <c r="CM351" s="10"/>
      <c r="CN351" s="10"/>
      <c r="CO351" s="10"/>
      <c r="CP351" s="10"/>
      <c r="CQ351" s="10"/>
      <c r="CR351" s="10"/>
      <c r="CS351" s="10"/>
      <c r="CT351" s="10"/>
      <c r="CU351" s="10"/>
      <c r="CV351" s="10"/>
      <c r="CW351" s="10"/>
      <c r="CX351" s="10"/>
      <c r="CY351" s="10"/>
      <c r="CZ351" s="10"/>
      <c r="DA351" s="10"/>
      <c r="DB351" s="10"/>
      <c r="DC351" s="10"/>
      <c r="DD351" s="10"/>
      <c r="DE351" s="10"/>
      <c r="DF351" s="10"/>
      <c r="DG351" s="10"/>
      <c r="DH351" s="10"/>
    </row>
    <row r="352" spans="1:112" ht="15.75" customHeight="1" x14ac:dyDescent="0.3">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0"/>
      <c r="BC352" s="10"/>
      <c r="BD352" s="10"/>
      <c r="BE352" s="10"/>
      <c r="BF352" s="10"/>
      <c r="BG352" s="10"/>
      <c r="BH352" s="10"/>
      <c r="BI352" s="10"/>
      <c r="BJ352" s="10"/>
      <c r="BK352" s="10"/>
      <c r="BL352" s="10"/>
      <c r="BM352" s="10"/>
      <c r="BN352" s="10"/>
      <c r="BO352" s="10"/>
      <c r="BP352" s="10"/>
      <c r="BQ352" s="10"/>
      <c r="BR352" s="10"/>
      <c r="BS352" s="10"/>
      <c r="BT352" s="10"/>
      <c r="BU352" s="10"/>
      <c r="BV352" s="10"/>
      <c r="BW352" s="10"/>
      <c r="BX352" s="10"/>
      <c r="BY352" s="10"/>
      <c r="BZ352" s="10"/>
      <c r="CA352" s="10"/>
      <c r="CB352" s="10"/>
      <c r="CC352" s="10"/>
      <c r="CD352" s="10"/>
      <c r="CE352" s="10"/>
      <c r="CF352" s="10"/>
      <c r="CG352" s="10"/>
      <c r="CH352" s="10"/>
      <c r="CI352" s="10"/>
      <c r="CJ352" s="10"/>
      <c r="CK352" s="10"/>
      <c r="CL352" s="10"/>
      <c r="CM352" s="10"/>
      <c r="CN352" s="10"/>
      <c r="CO352" s="10"/>
      <c r="CP352" s="10"/>
      <c r="CQ352" s="10"/>
      <c r="CR352" s="10"/>
      <c r="CS352" s="10"/>
      <c r="CT352" s="10"/>
      <c r="CU352" s="10"/>
      <c r="CV352" s="10"/>
      <c r="CW352" s="10"/>
      <c r="CX352" s="10"/>
      <c r="CY352" s="10"/>
      <c r="CZ352" s="10"/>
      <c r="DA352" s="10"/>
      <c r="DB352" s="10"/>
      <c r="DC352" s="10"/>
      <c r="DD352" s="10"/>
      <c r="DE352" s="10"/>
      <c r="DF352" s="10"/>
      <c r="DG352" s="10"/>
      <c r="DH352" s="10"/>
    </row>
    <row r="353" spans="1:112" ht="15.75" customHeight="1" x14ac:dyDescent="0.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0"/>
      <c r="BC353" s="10"/>
      <c r="BD353" s="10"/>
      <c r="BE353" s="10"/>
      <c r="BF353" s="10"/>
      <c r="BG353" s="10"/>
      <c r="BH353" s="10"/>
      <c r="BI353" s="10"/>
      <c r="BJ353" s="10"/>
      <c r="BK353" s="10"/>
      <c r="BL353" s="10"/>
      <c r="BM353" s="10"/>
      <c r="BN353" s="10"/>
      <c r="BO353" s="10"/>
      <c r="BP353" s="10"/>
      <c r="BQ353" s="10"/>
      <c r="BR353" s="10"/>
      <c r="BS353" s="10"/>
      <c r="BT353" s="10"/>
      <c r="BU353" s="10"/>
      <c r="BV353" s="10"/>
      <c r="BW353" s="10"/>
      <c r="BX353" s="10"/>
      <c r="BY353" s="10"/>
      <c r="BZ353" s="10"/>
      <c r="CA353" s="10"/>
      <c r="CB353" s="10"/>
      <c r="CC353" s="10"/>
      <c r="CD353" s="10"/>
      <c r="CE353" s="10"/>
      <c r="CF353" s="10"/>
      <c r="CG353" s="10"/>
      <c r="CH353" s="10"/>
      <c r="CI353" s="10"/>
      <c r="CJ353" s="10"/>
      <c r="CK353" s="10"/>
      <c r="CL353" s="10"/>
      <c r="CM353" s="10"/>
      <c r="CN353" s="10"/>
      <c r="CO353" s="10"/>
      <c r="CP353" s="10"/>
      <c r="CQ353" s="10"/>
      <c r="CR353" s="10"/>
      <c r="CS353" s="10"/>
      <c r="CT353" s="10"/>
      <c r="CU353" s="10"/>
      <c r="CV353" s="10"/>
      <c r="CW353" s="10"/>
      <c r="CX353" s="10"/>
      <c r="CY353" s="10"/>
      <c r="CZ353" s="10"/>
      <c r="DA353" s="10"/>
      <c r="DB353" s="10"/>
      <c r="DC353" s="10"/>
      <c r="DD353" s="10"/>
      <c r="DE353" s="10"/>
      <c r="DF353" s="10"/>
      <c r="DG353" s="10"/>
      <c r="DH353" s="10"/>
    </row>
    <row r="354" spans="1:112" ht="15.75" customHeight="1" x14ac:dyDescent="0.3">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0"/>
      <c r="BC354" s="10"/>
      <c r="BD354" s="10"/>
      <c r="BE354" s="10"/>
      <c r="BF354" s="10"/>
      <c r="BG354" s="10"/>
      <c r="BH354" s="10"/>
      <c r="BI354" s="10"/>
      <c r="BJ354" s="10"/>
      <c r="BK354" s="10"/>
      <c r="BL354" s="10"/>
      <c r="BM354" s="10"/>
      <c r="BN354" s="10"/>
      <c r="BO354" s="10"/>
      <c r="BP354" s="10"/>
      <c r="BQ354" s="10"/>
      <c r="BR354" s="10"/>
      <c r="BS354" s="10"/>
      <c r="BT354" s="10"/>
      <c r="BU354" s="10"/>
      <c r="BV354" s="10"/>
      <c r="BW354" s="10"/>
      <c r="BX354" s="10"/>
      <c r="BY354" s="10"/>
      <c r="BZ354" s="10"/>
      <c r="CA354" s="10"/>
      <c r="CB354" s="10"/>
      <c r="CC354" s="10"/>
      <c r="CD354" s="10"/>
      <c r="CE354" s="10"/>
      <c r="CF354" s="10"/>
      <c r="CG354" s="10"/>
      <c r="CH354" s="10"/>
      <c r="CI354" s="10"/>
      <c r="CJ354" s="10"/>
      <c r="CK354" s="10"/>
      <c r="CL354" s="10"/>
      <c r="CM354" s="10"/>
      <c r="CN354" s="10"/>
      <c r="CO354" s="10"/>
      <c r="CP354" s="10"/>
      <c r="CQ354" s="10"/>
      <c r="CR354" s="10"/>
      <c r="CS354" s="10"/>
      <c r="CT354" s="10"/>
      <c r="CU354" s="10"/>
      <c r="CV354" s="10"/>
      <c r="CW354" s="10"/>
      <c r="CX354" s="10"/>
      <c r="CY354" s="10"/>
      <c r="CZ354" s="10"/>
      <c r="DA354" s="10"/>
      <c r="DB354" s="10"/>
      <c r="DC354" s="10"/>
      <c r="DD354" s="10"/>
      <c r="DE354" s="10"/>
      <c r="DF354" s="10"/>
      <c r="DG354" s="10"/>
      <c r="DH354" s="10"/>
    </row>
    <row r="355" spans="1:112" ht="15.75" customHeight="1" x14ac:dyDescent="0.3">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0"/>
      <c r="BC355" s="10"/>
      <c r="BD355" s="10"/>
      <c r="BE355" s="10"/>
      <c r="BF355" s="10"/>
      <c r="BG355" s="10"/>
      <c r="BH355" s="10"/>
      <c r="BI355" s="10"/>
      <c r="BJ355" s="10"/>
      <c r="BK355" s="10"/>
      <c r="BL355" s="10"/>
      <c r="BM355" s="10"/>
      <c r="BN355" s="10"/>
      <c r="BO355" s="10"/>
      <c r="BP355" s="10"/>
      <c r="BQ355" s="10"/>
      <c r="BR355" s="10"/>
      <c r="BS355" s="10"/>
      <c r="BT355" s="10"/>
      <c r="BU355" s="10"/>
      <c r="BV355" s="10"/>
      <c r="BW355" s="10"/>
      <c r="BX355" s="10"/>
      <c r="BY355" s="10"/>
      <c r="BZ355" s="10"/>
      <c r="CA355" s="10"/>
      <c r="CB355" s="10"/>
      <c r="CC355" s="10"/>
      <c r="CD355" s="10"/>
      <c r="CE355" s="10"/>
      <c r="CF355" s="10"/>
      <c r="CG355" s="10"/>
      <c r="CH355" s="10"/>
      <c r="CI355" s="10"/>
      <c r="CJ355" s="10"/>
      <c r="CK355" s="10"/>
      <c r="CL355" s="10"/>
      <c r="CM355" s="10"/>
      <c r="CN355" s="10"/>
      <c r="CO355" s="10"/>
      <c r="CP355" s="10"/>
      <c r="CQ355" s="10"/>
      <c r="CR355" s="10"/>
      <c r="CS355" s="10"/>
      <c r="CT355" s="10"/>
      <c r="CU355" s="10"/>
      <c r="CV355" s="10"/>
      <c r="CW355" s="10"/>
      <c r="CX355" s="10"/>
      <c r="CY355" s="10"/>
      <c r="CZ355" s="10"/>
      <c r="DA355" s="10"/>
      <c r="DB355" s="10"/>
      <c r="DC355" s="10"/>
      <c r="DD355" s="10"/>
      <c r="DE355" s="10"/>
      <c r="DF355" s="10"/>
      <c r="DG355" s="10"/>
      <c r="DH355" s="10"/>
    </row>
    <row r="356" spans="1:112" ht="15.75" customHeight="1" x14ac:dyDescent="0.3">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0"/>
      <c r="BC356" s="10"/>
      <c r="BD356" s="10"/>
      <c r="BE356" s="10"/>
      <c r="BF356" s="10"/>
      <c r="BG356" s="10"/>
      <c r="BH356" s="10"/>
      <c r="BI356" s="10"/>
      <c r="BJ356" s="10"/>
      <c r="BK356" s="10"/>
      <c r="BL356" s="10"/>
      <c r="BM356" s="10"/>
      <c r="BN356" s="10"/>
      <c r="BO356" s="10"/>
      <c r="BP356" s="10"/>
      <c r="BQ356" s="10"/>
      <c r="BR356" s="10"/>
      <c r="BS356" s="10"/>
      <c r="BT356" s="10"/>
      <c r="BU356" s="10"/>
      <c r="BV356" s="10"/>
      <c r="BW356" s="10"/>
      <c r="BX356" s="10"/>
      <c r="BY356" s="10"/>
      <c r="BZ356" s="10"/>
      <c r="CA356" s="10"/>
      <c r="CB356" s="10"/>
      <c r="CC356" s="10"/>
      <c r="CD356" s="10"/>
      <c r="CE356" s="10"/>
      <c r="CF356" s="10"/>
      <c r="CG356" s="10"/>
      <c r="CH356" s="10"/>
      <c r="CI356" s="10"/>
      <c r="CJ356" s="10"/>
      <c r="CK356" s="10"/>
      <c r="CL356" s="10"/>
      <c r="CM356" s="10"/>
      <c r="CN356" s="10"/>
      <c r="CO356" s="10"/>
      <c r="CP356" s="10"/>
      <c r="CQ356" s="10"/>
      <c r="CR356" s="10"/>
      <c r="CS356" s="10"/>
      <c r="CT356" s="10"/>
      <c r="CU356" s="10"/>
      <c r="CV356" s="10"/>
      <c r="CW356" s="10"/>
      <c r="CX356" s="10"/>
      <c r="CY356" s="10"/>
      <c r="CZ356" s="10"/>
      <c r="DA356" s="10"/>
      <c r="DB356" s="10"/>
      <c r="DC356" s="10"/>
      <c r="DD356" s="10"/>
      <c r="DE356" s="10"/>
      <c r="DF356" s="10"/>
      <c r="DG356" s="10"/>
      <c r="DH356" s="10"/>
    </row>
    <row r="357" spans="1:112" ht="15.75" customHeight="1" x14ac:dyDescent="0.3">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0"/>
      <c r="BC357" s="10"/>
      <c r="BD357" s="10"/>
      <c r="BE357" s="10"/>
      <c r="BF357" s="10"/>
      <c r="BG357" s="10"/>
      <c r="BH357" s="10"/>
      <c r="BI357" s="10"/>
      <c r="BJ357" s="10"/>
      <c r="BK357" s="10"/>
      <c r="BL357" s="10"/>
      <c r="BM357" s="10"/>
      <c r="BN357" s="10"/>
      <c r="BO357" s="10"/>
      <c r="BP357" s="10"/>
      <c r="BQ357" s="10"/>
      <c r="BR357" s="10"/>
      <c r="BS357" s="10"/>
      <c r="BT357" s="10"/>
      <c r="BU357" s="10"/>
      <c r="BV357" s="10"/>
      <c r="BW357" s="10"/>
      <c r="BX357" s="10"/>
      <c r="BY357" s="10"/>
      <c r="BZ357" s="10"/>
      <c r="CA357" s="10"/>
      <c r="CB357" s="10"/>
      <c r="CC357" s="10"/>
      <c r="CD357" s="10"/>
      <c r="CE357" s="10"/>
      <c r="CF357" s="10"/>
      <c r="CG357" s="10"/>
      <c r="CH357" s="10"/>
      <c r="CI357" s="10"/>
      <c r="CJ357" s="10"/>
      <c r="CK357" s="10"/>
      <c r="CL357" s="10"/>
      <c r="CM357" s="10"/>
      <c r="CN357" s="10"/>
      <c r="CO357" s="10"/>
      <c r="CP357" s="10"/>
      <c r="CQ357" s="10"/>
      <c r="CR357" s="10"/>
      <c r="CS357" s="10"/>
      <c r="CT357" s="10"/>
      <c r="CU357" s="10"/>
      <c r="CV357" s="10"/>
      <c r="CW357" s="10"/>
      <c r="CX357" s="10"/>
      <c r="CY357" s="10"/>
      <c r="CZ357" s="10"/>
      <c r="DA357" s="10"/>
      <c r="DB357" s="10"/>
      <c r="DC357" s="10"/>
      <c r="DD357" s="10"/>
      <c r="DE357" s="10"/>
      <c r="DF357" s="10"/>
      <c r="DG357" s="10"/>
      <c r="DH357" s="10"/>
    </row>
    <row r="358" spans="1:112" ht="15.75" customHeight="1" x14ac:dyDescent="0.3">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0"/>
      <c r="BC358" s="10"/>
      <c r="BD358" s="10"/>
      <c r="BE358" s="10"/>
      <c r="BF358" s="10"/>
      <c r="BG358" s="10"/>
      <c r="BH358" s="10"/>
      <c r="BI358" s="10"/>
      <c r="BJ358" s="10"/>
      <c r="BK358" s="10"/>
      <c r="BL358" s="10"/>
      <c r="BM358" s="10"/>
      <c r="BN358" s="10"/>
      <c r="BO358" s="10"/>
      <c r="BP358" s="10"/>
      <c r="BQ358" s="10"/>
      <c r="BR358" s="10"/>
      <c r="BS358" s="10"/>
      <c r="BT358" s="10"/>
      <c r="BU358" s="10"/>
      <c r="BV358" s="10"/>
      <c r="BW358" s="10"/>
      <c r="BX358" s="10"/>
      <c r="BY358" s="10"/>
      <c r="BZ358" s="10"/>
      <c r="CA358" s="10"/>
      <c r="CB358" s="10"/>
      <c r="CC358" s="10"/>
      <c r="CD358" s="10"/>
      <c r="CE358" s="10"/>
      <c r="CF358" s="10"/>
      <c r="CG358" s="10"/>
      <c r="CH358" s="10"/>
      <c r="CI358" s="10"/>
      <c r="CJ358" s="10"/>
      <c r="CK358" s="10"/>
      <c r="CL358" s="10"/>
      <c r="CM358" s="10"/>
      <c r="CN358" s="10"/>
      <c r="CO358" s="10"/>
      <c r="CP358" s="10"/>
      <c r="CQ358" s="10"/>
      <c r="CR358" s="10"/>
      <c r="CS358" s="10"/>
      <c r="CT358" s="10"/>
      <c r="CU358" s="10"/>
      <c r="CV358" s="10"/>
      <c r="CW358" s="10"/>
      <c r="CX358" s="10"/>
      <c r="CY358" s="10"/>
      <c r="CZ358" s="10"/>
      <c r="DA358" s="10"/>
      <c r="DB358" s="10"/>
      <c r="DC358" s="10"/>
      <c r="DD358" s="10"/>
      <c r="DE358" s="10"/>
      <c r="DF358" s="10"/>
      <c r="DG358" s="10"/>
      <c r="DH358" s="10"/>
    </row>
    <row r="359" spans="1:112" ht="15.75" customHeight="1" x14ac:dyDescent="0.3">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0"/>
      <c r="BC359" s="10"/>
      <c r="BD359" s="10"/>
      <c r="BE359" s="10"/>
      <c r="BF359" s="10"/>
      <c r="BG359" s="10"/>
      <c r="BH359" s="10"/>
      <c r="BI359" s="10"/>
      <c r="BJ359" s="10"/>
      <c r="BK359" s="10"/>
      <c r="BL359" s="10"/>
      <c r="BM359" s="10"/>
      <c r="BN359" s="10"/>
      <c r="BO359" s="10"/>
      <c r="BP359" s="10"/>
      <c r="BQ359" s="10"/>
      <c r="BR359" s="10"/>
      <c r="BS359" s="10"/>
      <c r="BT359" s="10"/>
      <c r="BU359" s="10"/>
      <c r="BV359" s="10"/>
      <c r="BW359" s="10"/>
      <c r="BX359" s="10"/>
      <c r="BY359" s="10"/>
      <c r="BZ359" s="10"/>
      <c r="CA359" s="10"/>
      <c r="CB359" s="10"/>
      <c r="CC359" s="10"/>
      <c r="CD359" s="10"/>
      <c r="CE359" s="10"/>
      <c r="CF359" s="10"/>
      <c r="CG359" s="10"/>
      <c r="CH359" s="10"/>
      <c r="CI359" s="10"/>
      <c r="CJ359" s="10"/>
      <c r="CK359" s="10"/>
      <c r="CL359" s="10"/>
      <c r="CM359" s="10"/>
      <c r="CN359" s="10"/>
      <c r="CO359" s="10"/>
      <c r="CP359" s="10"/>
      <c r="CQ359" s="10"/>
      <c r="CR359" s="10"/>
      <c r="CS359" s="10"/>
      <c r="CT359" s="10"/>
      <c r="CU359" s="10"/>
      <c r="CV359" s="10"/>
      <c r="CW359" s="10"/>
      <c r="CX359" s="10"/>
      <c r="CY359" s="10"/>
      <c r="CZ359" s="10"/>
      <c r="DA359" s="10"/>
      <c r="DB359" s="10"/>
      <c r="DC359" s="10"/>
      <c r="DD359" s="10"/>
      <c r="DE359" s="10"/>
      <c r="DF359" s="10"/>
      <c r="DG359" s="10"/>
      <c r="DH359" s="10"/>
    </row>
    <row r="360" spans="1:112" ht="15.75" customHeight="1" x14ac:dyDescent="0.3">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0"/>
      <c r="BC360" s="10"/>
      <c r="BD360" s="10"/>
      <c r="BE360" s="10"/>
      <c r="BF360" s="10"/>
      <c r="BG360" s="10"/>
      <c r="BH360" s="10"/>
      <c r="BI360" s="10"/>
      <c r="BJ360" s="10"/>
      <c r="BK360" s="10"/>
      <c r="BL360" s="10"/>
      <c r="BM360" s="10"/>
      <c r="BN360" s="10"/>
      <c r="BO360" s="10"/>
      <c r="BP360" s="10"/>
      <c r="BQ360" s="10"/>
      <c r="BR360" s="10"/>
      <c r="BS360" s="10"/>
      <c r="BT360" s="10"/>
      <c r="BU360" s="10"/>
      <c r="BV360" s="10"/>
      <c r="BW360" s="10"/>
      <c r="BX360" s="10"/>
      <c r="BY360" s="10"/>
      <c r="BZ360" s="10"/>
      <c r="CA360" s="10"/>
      <c r="CB360" s="10"/>
      <c r="CC360" s="10"/>
      <c r="CD360" s="10"/>
      <c r="CE360" s="10"/>
      <c r="CF360" s="10"/>
      <c r="CG360" s="10"/>
      <c r="CH360" s="10"/>
      <c r="CI360" s="10"/>
      <c r="CJ360" s="10"/>
      <c r="CK360" s="10"/>
      <c r="CL360" s="10"/>
      <c r="CM360" s="10"/>
      <c r="CN360" s="10"/>
      <c r="CO360" s="10"/>
      <c r="CP360" s="10"/>
      <c r="CQ360" s="10"/>
      <c r="CR360" s="10"/>
      <c r="CS360" s="10"/>
      <c r="CT360" s="10"/>
      <c r="CU360" s="10"/>
      <c r="CV360" s="10"/>
      <c r="CW360" s="10"/>
      <c r="CX360" s="10"/>
      <c r="CY360" s="10"/>
      <c r="CZ360" s="10"/>
      <c r="DA360" s="10"/>
      <c r="DB360" s="10"/>
      <c r="DC360" s="10"/>
      <c r="DD360" s="10"/>
      <c r="DE360" s="10"/>
      <c r="DF360" s="10"/>
      <c r="DG360" s="10"/>
      <c r="DH360" s="10"/>
    </row>
    <row r="361" spans="1:112" ht="15.75" customHeight="1" x14ac:dyDescent="0.3">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0"/>
      <c r="BC361" s="10"/>
      <c r="BD361" s="10"/>
      <c r="BE361" s="10"/>
      <c r="BF361" s="10"/>
      <c r="BG361" s="10"/>
      <c r="BH361" s="10"/>
      <c r="BI361" s="10"/>
      <c r="BJ361" s="10"/>
      <c r="BK361" s="10"/>
      <c r="BL361" s="10"/>
      <c r="BM361" s="10"/>
      <c r="BN361" s="10"/>
      <c r="BO361" s="10"/>
      <c r="BP361" s="10"/>
      <c r="BQ361" s="10"/>
      <c r="BR361" s="10"/>
      <c r="BS361" s="10"/>
      <c r="BT361" s="10"/>
      <c r="BU361" s="10"/>
      <c r="BV361" s="10"/>
      <c r="BW361" s="10"/>
      <c r="BX361" s="10"/>
      <c r="BY361" s="10"/>
      <c r="BZ361" s="10"/>
      <c r="CA361" s="10"/>
      <c r="CB361" s="10"/>
      <c r="CC361" s="10"/>
      <c r="CD361" s="10"/>
      <c r="CE361" s="10"/>
      <c r="CF361" s="10"/>
      <c r="CG361" s="10"/>
      <c r="CH361" s="10"/>
      <c r="CI361" s="10"/>
      <c r="CJ361" s="10"/>
      <c r="CK361" s="10"/>
      <c r="CL361" s="10"/>
      <c r="CM361" s="10"/>
      <c r="CN361" s="10"/>
      <c r="CO361" s="10"/>
      <c r="CP361" s="10"/>
      <c r="CQ361" s="10"/>
      <c r="CR361" s="10"/>
      <c r="CS361" s="10"/>
      <c r="CT361" s="10"/>
      <c r="CU361" s="10"/>
      <c r="CV361" s="10"/>
      <c r="CW361" s="10"/>
      <c r="CX361" s="10"/>
      <c r="CY361" s="10"/>
      <c r="CZ361" s="10"/>
      <c r="DA361" s="10"/>
      <c r="DB361" s="10"/>
      <c r="DC361" s="10"/>
      <c r="DD361" s="10"/>
      <c r="DE361" s="10"/>
      <c r="DF361" s="10"/>
      <c r="DG361" s="10"/>
      <c r="DH361" s="10"/>
    </row>
    <row r="362" spans="1:112" ht="15.75" customHeight="1" x14ac:dyDescent="0.3">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0"/>
      <c r="BC362" s="10"/>
      <c r="BD362" s="10"/>
      <c r="BE362" s="10"/>
      <c r="BF362" s="10"/>
      <c r="BG362" s="10"/>
      <c r="BH362" s="10"/>
      <c r="BI362" s="10"/>
      <c r="BJ362" s="10"/>
      <c r="BK362" s="10"/>
      <c r="BL362" s="10"/>
      <c r="BM362" s="10"/>
      <c r="BN362" s="10"/>
      <c r="BO362" s="10"/>
      <c r="BP362" s="10"/>
      <c r="BQ362" s="10"/>
      <c r="BR362" s="10"/>
      <c r="BS362" s="10"/>
      <c r="BT362" s="10"/>
      <c r="BU362" s="10"/>
      <c r="BV362" s="10"/>
      <c r="BW362" s="10"/>
      <c r="BX362" s="10"/>
      <c r="BY362" s="10"/>
      <c r="BZ362" s="10"/>
      <c r="CA362" s="10"/>
      <c r="CB362" s="10"/>
      <c r="CC362" s="10"/>
      <c r="CD362" s="10"/>
      <c r="CE362" s="10"/>
      <c r="CF362" s="10"/>
      <c r="CG362" s="10"/>
      <c r="CH362" s="10"/>
      <c r="CI362" s="10"/>
      <c r="CJ362" s="10"/>
      <c r="CK362" s="10"/>
      <c r="CL362" s="10"/>
      <c r="CM362" s="10"/>
      <c r="CN362" s="10"/>
      <c r="CO362" s="10"/>
      <c r="CP362" s="10"/>
      <c r="CQ362" s="10"/>
      <c r="CR362" s="10"/>
      <c r="CS362" s="10"/>
      <c r="CT362" s="10"/>
      <c r="CU362" s="10"/>
      <c r="CV362" s="10"/>
      <c r="CW362" s="10"/>
      <c r="CX362" s="10"/>
      <c r="CY362" s="10"/>
      <c r="CZ362" s="10"/>
      <c r="DA362" s="10"/>
      <c r="DB362" s="10"/>
      <c r="DC362" s="10"/>
      <c r="DD362" s="10"/>
      <c r="DE362" s="10"/>
      <c r="DF362" s="10"/>
      <c r="DG362" s="10"/>
      <c r="DH362" s="10"/>
    </row>
    <row r="363" spans="1:112" ht="15.75" customHeight="1" x14ac:dyDescent="0.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0"/>
      <c r="BC363" s="10"/>
      <c r="BD363" s="10"/>
      <c r="BE363" s="10"/>
      <c r="BF363" s="10"/>
      <c r="BG363" s="10"/>
      <c r="BH363" s="10"/>
      <c r="BI363" s="10"/>
      <c r="BJ363" s="10"/>
      <c r="BK363" s="10"/>
      <c r="BL363" s="10"/>
      <c r="BM363" s="10"/>
      <c r="BN363" s="10"/>
      <c r="BO363" s="10"/>
      <c r="BP363" s="10"/>
      <c r="BQ363" s="10"/>
      <c r="BR363" s="10"/>
      <c r="BS363" s="10"/>
      <c r="BT363" s="10"/>
      <c r="BU363" s="10"/>
      <c r="BV363" s="10"/>
      <c r="BW363" s="10"/>
      <c r="BX363" s="10"/>
      <c r="BY363" s="10"/>
      <c r="BZ363" s="10"/>
      <c r="CA363" s="10"/>
      <c r="CB363" s="10"/>
      <c r="CC363" s="10"/>
      <c r="CD363" s="10"/>
      <c r="CE363" s="10"/>
      <c r="CF363" s="10"/>
      <c r="CG363" s="10"/>
      <c r="CH363" s="10"/>
      <c r="CI363" s="10"/>
      <c r="CJ363" s="10"/>
      <c r="CK363" s="10"/>
      <c r="CL363" s="10"/>
      <c r="CM363" s="10"/>
      <c r="CN363" s="10"/>
      <c r="CO363" s="10"/>
      <c r="CP363" s="10"/>
      <c r="CQ363" s="10"/>
      <c r="CR363" s="10"/>
      <c r="CS363" s="10"/>
      <c r="CT363" s="10"/>
      <c r="CU363" s="10"/>
      <c r="CV363" s="10"/>
      <c r="CW363" s="10"/>
      <c r="CX363" s="10"/>
      <c r="CY363" s="10"/>
      <c r="CZ363" s="10"/>
      <c r="DA363" s="10"/>
      <c r="DB363" s="10"/>
      <c r="DC363" s="10"/>
      <c r="DD363" s="10"/>
      <c r="DE363" s="10"/>
      <c r="DF363" s="10"/>
      <c r="DG363" s="10"/>
      <c r="DH363" s="10"/>
    </row>
    <row r="364" spans="1:112" ht="15.75" customHeight="1" x14ac:dyDescent="0.3">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0"/>
      <c r="BC364" s="10"/>
      <c r="BD364" s="10"/>
      <c r="BE364" s="10"/>
      <c r="BF364" s="10"/>
      <c r="BG364" s="10"/>
      <c r="BH364" s="10"/>
      <c r="BI364" s="10"/>
      <c r="BJ364" s="10"/>
      <c r="BK364" s="10"/>
      <c r="BL364" s="10"/>
      <c r="BM364" s="10"/>
      <c r="BN364" s="10"/>
      <c r="BO364" s="10"/>
      <c r="BP364" s="10"/>
      <c r="BQ364" s="10"/>
      <c r="BR364" s="10"/>
      <c r="BS364" s="10"/>
      <c r="BT364" s="10"/>
      <c r="BU364" s="10"/>
      <c r="BV364" s="10"/>
      <c r="BW364" s="10"/>
      <c r="BX364" s="10"/>
      <c r="BY364" s="10"/>
      <c r="BZ364" s="10"/>
      <c r="CA364" s="10"/>
      <c r="CB364" s="10"/>
      <c r="CC364" s="10"/>
      <c r="CD364" s="10"/>
      <c r="CE364" s="10"/>
      <c r="CF364" s="10"/>
      <c r="CG364" s="10"/>
      <c r="CH364" s="10"/>
      <c r="CI364" s="10"/>
      <c r="CJ364" s="10"/>
      <c r="CK364" s="10"/>
      <c r="CL364" s="10"/>
      <c r="CM364" s="10"/>
      <c r="CN364" s="10"/>
      <c r="CO364" s="10"/>
      <c r="CP364" s="10"/>
      <c r="CQ364" s="10"/>
      <c r="CR364" s="10"/>
      <c r="CS364" s="10"/>
      <c r="CT364" s="10"/>
      <c r="CU364" s="10"/>
      <c r="CV364" s="10"/>
      <c r="CW364" s="10"/>
      <c r="CX364" s="10"/>
      <c r="CY364" s="10"/>
      <c r="CZ364" s="10"/>
      <c r="DA364" s="10"/>
      <c r="DB364" s="10"/>
      <c r="DC364" s="10"/>
      <c r="DD364" s="10"/>
      <c r="DE364" s="10"/>
      <c r="DF364" s="10"/>
      <c r="DG364" s="10"/>
      <c r="DH364" s="10"/>
    </row>
    <row r="365" spans="1:112" ht="15.75" customHeight="1" x14ac:dyDescent="0.3">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0"/>
      <c r="BC365" s="10"/>
      <c r="BD365" s="10"/>
      <c r="BE365" s="10"/>
      <c r="BF365" s="10"/>
      <c r="BG365" s="10"/>
      <c r="BH365" s="10"/>
      <c r="BI365" s="10"/>
      <c r="BJ365" s="10"/>
      <c r="BK365" s="10"/>
      <c r="BL365" s="10"/>
      <c r="BM365" s="10"/>
      <c r="BN365" s="10"/>
      <c r="BO365" s="10"/>
      <c r="BP365" s="10"/>
      <c r="BQ365" s="10"/>
      <c r="BR365" s="10"/>
      <c r="BS365" s="10"/>
      <c r="BT365" s="10"/>
      <c r="BU365" s="10"/>
      <c r="BV365" s="10"/>
      <c r="BW365" s="10"/>
      <c r="BX365" s="10"/>
      <c r="BY365" s="10"/>
      <c r="BZ365" s="10"/>
      <c r="CA365" s="10"/>
      <c r="CB365" s="10"/>
      <c r="CC365" s="10"/>
      <c r="CD365" s="10"/>
      <c r="CE365" s="10"/>
      <c r="CF365" s="10"/>
      <c r="CG365" s="10"/>
      <c r="CH365" s="10"/>
      <c r="CI365" s="10"/>
      <c r="CJ365" s="10"/>
      <c r="CK365" s="10"/>
      <c r="CL365" s="10"/>
      <c r="CM365" s="10"/>
      <c r="CN365" s="10"/>
      <c r="CO365" s="10"/>
      <c r="CP365" s="10"/>
      <c r="CQ365" s="10"/>
      <c r="CR365" s="10"/>
      <c r="CS365" s="10"/>
      <c r="CT365" s="10"/>
      <c r="CU365" s="10"/>
      <c r="CV365" s="10"/>
      <c r="CW365" s="10"/>
      <c r="CX365" s="10"/>
      <c r="CY365" s="10"/>
      <c r="CZ365" s="10"/>
      <c r="DA365" s="10"/>
      <c r="DB365" s="10"/>
      <c r="DC365" s="10"/>
      <c r="DD365" s="10"/>
      <c r="DE365" s="10"/>
      <c r="DF365" s="10"/>
      <c r="DG365" s="10"/>
      <c r="DH365" s="10"/>
    </row>
    <row r="366" spans="1:112" ht="15.75" customHeight="1" x14ac:dyDescent="0.3">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0"/>
      <c r="BC366" s="10"/>
      <c r="BD366" s="10"/>
      <c r="BE366" s="10"/>
      <c r="BF366" s="10"/>
      <c r="BG366" s="10"/>
      <c r="BH366" s="10"/>
      <c r="BI366" s="10"/>
      <c r="BJ366" s="10"/>
      <c r="BK366" s="10"/>
      <c r="BL366" s="10"/>
      <c r="BM366" s="10"/>
      <c r="BN366" s="10"/>
      <c r="BO366" s="10"/>
      <c r="BP366" s="10"/>
      <c r="BQ366" s="10"/>
      <c r="BR366" s="10"/>
      <c r="BS366" s="10"/>
      <c r="BT366" s="10"/>
      <c r="BU366" s="10"/>
      <c r="BV366" s="10"/>
      <c r="BW366" s="10"/>
      <c r="BX366" s="10"/>
      <c r="BY366" s="10"/>
      <c r="BZ366" s="10"/>
      <c r="CA366" s="10"/>
      <c r="CB366" s="10"/>
      <c r="CC366" s="10"/>
      <c r="CD366" s="10"/>
      <c r="CE366" s="10"/>
      <c r="CF366" s="10"/>
      <c r="CG366" s="10"/>
      <c r="CH366" s="10"/>
      <c r="CI366" s="10"/>
      <c r="CJ366" s="10"/>
      <c r="CK366" s="10"/>
      <c r="CL366" s="10"/>
      <c r="CM366" s="10"/>
      <c r="CN366" s="10"/>
      <c r="CO366" s="10"/>
      <c r="CP366" s="10"/>
      <c r="CQ366" s="10"/>
      <c r="CR366" s="10"/>
      <c r="CS366" s="10"/>
      <c r="CT366" s="10"/>
      <c r="CU366" s="10"/>
      <c r="CV366" s="10"/>
      <c r="CW366" s="10"/>
      <c r="CX366" s="10"/>
      <c r="CY366" s="10"/>
      <c r="CZ366" s="10"/>
      <c r="DA366" s="10"/>
      <c r="DB366" s="10"/>
      <c r="DC366" s="10"/>
      <c r="DD366" s="10"/>
      <c r="DE366" s="10"/>
      <c r="DF366" s="10"/>
      <c r="DG366" s="10"/>
      <c r="DH366" s="10"/>
    </row>
    <row r="367" spans="1:112" ht="15.75" customHeight="1" x14ac:dyDescent="0.3">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0"/>
      <c r="BC367" s="10"/>
      <c r="BD367" s="10"/>
      <c r="BE367" s="10"/>
      <c r="BF367" s="10"/>
      <c r="BG367" s="10"/>
      <c r="BH367" s="10"/>
      <c r="BI367" s="10"/>
      <c r="BJ367" s="10"/>
      <c r="BK367" s="10"/>
      <c r="BL367" s="10"/>
      <c r="BM367" s="10"/>
      <c r="BN367" s="10"/>
      <c r="BO367" s="10"/>
      <c r="BP367" s="10"/>
      <c r="BQ367" s="10"/>
      <c r="BR367" s="10"/>
      <c r="BS367" s="10"/>
      <c r="BT367" s="10"/>
      <c r="BU367" s="10"/>
      <c r="BV367" s="10"/>
      <c r="BW367" s="10"/>
      <c r="BX367" s="10"/>
      <c r="BY367" s="10"/>
      <c r="BZ367" s="10"/>
      <c r="CA367" s="10"/>
      <c r="CB367" s="10"/>
      <c r="CC367" s="10"/>
      <c r="CD367" s="10"/>
      <c r="CE367" s="10"/>
      <c r="CF367" s="10"/>
      <c r="CG367" s="10"/>
      <c r="CH367" s="10"/>
      <c r="CI367" s="10"/>
      <c r="CJ367" s="10"/>
      <c r="CK367" s="10"/>
      <c r="CL367" s="10"/>
      <c r="CM367" s="10"/>
      <c r="CN367" s="10"/>
      <c r="CO367" s="10"/>
      <c r="CP367" s="10"/>
      <c r="CQ367" s="10"/>
      <c r="CR367" s="10"/>
      <c r="CS367" s="10"/>
      <c r="CT367" s="10"/>
      <c r="CU367" s="10"/>
      <c r="CV367" s="10"/>
      <c r="CW367" s="10"/>
      <c r="CX367" s="10"/>
      <c r="CY367" s="10"/>
      <c r="CZ367" s="10"/>
      <c r="DA367" s="10"/>
      <c r="DB367" s="10"/>
      <c r="DC367" s="10"/>
      <c r="DD367" s="10"/>
      <c r="DE367" s="10"/>
      <c r="DF367" s="10"/>
      <c r="DG367" s="10"/>
      <c r="DH367" s="10"/>
    </row>
    <row r="368" spans="1:112" ht="15.75" customHeight="1" x14ac:dyDescent="0.3">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0"/>
      <c r="BC368" s="10"/>
      <c r="BD368" s="10"/>
      <c r="BE368" s="10"/>
      <c r="BF368" s="10"/>
      <c r="BG368" s="10"/>
      <c r="BH368" s="10"/>
      <c r="BI368" s="10"/>
      <c r="BJ368" s="10"/>
      <c r="BK368" s="10"/>
      <c r="BL368" s="10"/>
      <c r="BM368" s="10"/>
      <c r="BN368" s="10"/>
      <c r="BO368" s="10"/>
      <c r="BP368" s="10"/>
      <c r="BQ368" s="10"/>
      <c r="BR368" s="10"/>
      <c r="BS368" s="10"/>
      <c r="BT368" s="10"/>
      <c r="BU368" s="10"/>
      <c r="BV368" s="10"/>
      <c r="BW368" s="10"/>
      <c r="BX368" s="10"/>
      <c r="BY368" s="10"/>
      <c r="BZ368" s="10"/>
      <c r="CA368" s="10"/>
      <c r="CB368" s="10"/>
      <c r="CC368" s="10"/>
      <c r="CD368" s="10"/>
      <c r="CE368" s="10"/>
      <c r="CF368" s="10"/>
      <c r="CG368" s="10"/>
      <c r="CH368" s="10"/>
      <c r="CI368" s="10"/>
      <c r="CJ368" s="10"/>
      <c r="CK368" s="10"/>
      <c r="CL368" s="10"/>
      <c r="CM368" s="10"/>
      <c r="CN368" s="10"/>
      <c r="CO368" s="10"/>
      <c r="CP368" s="10"/>
      <c r="CQ368" s="10"/>
      <c r="CR368" s="10"/>
      <c r="CS368" s="10"/>
      <c r="CT368" s="10"/>
      <c r="CU368" s="10"/>
      <c r="CV368" s="10"/>
      <c r="CW368" s="10"/>
      <c r="CX368" s="10"/>
      <c r="CY368" s="10"/>
      <c r="CZ368" s="10"/>
      <c r="DA368" s="10"/>
      <c r="DB368" s="10"/>
      <c r="DC368" s="10"/>
      <c r="DD368" s="10"/>
      <c r="DE368" s="10"/>
      <c r="DF368" s="10"/>
      <c r="DG368" s="10"/>
      <c r="DH368" s="10"/>
    </row>
    <row r="369" spans="1:112" ht="15.75" customHeight="1" x14ac:dyDescent="0.3">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0"/>
      <c r="BC369" s="10"/>
      <c r="BD369" s="10"/>
      <c r="BE369" s="10"/>
      <c r="BF369" s="10"/>
      <c r="BG369" s="10"/>
      <c r="BH369" s="10"/>
      <c r="BI369" s="10"/>
      <c r="BJ369" s="10"/>
      <c r="BK369" s="10"/>
      <c r="BL369" s="10"/>
      <c r="BM369" s="10"/>
      <c r="BN369" s="10"/>
      <c r="BO369" s="10"/>
      <c r="BP369" s="10"/>
      <c r="BQ369" s="10"/>
      <c r="BR369" s="10"/>
      <c r="BS369" s="10"/>
      <c r="BT369" s="10"/>
      <c r="BU369" s="10"/>
      <c r="BV369" s="10"/>
      <c r="BW369" s="10"/>
      <c r="BX369" s="10"/>
      <c r="BY369" s="10"/>
      <c r="BZ369" s="10"/>
      <c r="CA369" s="10"/>
      <c r="CB369" s="10"/>
      <c r="CC369" s="10"/>
      <c r="CD369" s="10"/>
      <c r="CE369" s="10"/>
      <c r="CF369" s="10"/>
      <c r="CG369" s="10"/>
      <c r="CH369" s="10"/>
      <c r="CI369" s="10"/>
      <c r="CJ369" s="10"/>
      <c r="CK369" s="10"/>
      <c r="CL369" s="10"/>
      <c r="CM369" s="10"/>
      <c r="CN369" s="10"/>
      <c r="CO369" s="10"/>
      <c r="CP369" s="10"/>
      <c r="CQ369" s="10"/>
      <c r="CR369" s="10"/>
      <c r="CS369" s="10"/>
      <c r="CT369" s="10"/>
      <c r="CU369" s="10"/>
      <c r="CV369" s="10"/>
      <c r="CW369" s="10"/>
      <c r="CX369" s="10"/>
      <c r="CY369" s="10"/>
      <c r="CZ369" s="10"/>
      <c r="DA369" s="10"/>
      <c r="DB369" s="10"/>
      <c r="DC369" s="10"/>
      <c r="DD369" s="10"/>
      <c r="DE369" s="10"/>
      <c r="DF369" s="10"/>
      <c r="DG369" s="10"/>
      <c r="DH369" s="10"/>
    </row>
    <row r="370" spans="1:112" ht="15.75" customHeight="1" x14ac:dyDescent="0.3">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0"/>
      <c r="BC370" s="10"/>
      <c r="BD370" s="10"/>
      <c r="BE370" s="10"/>
      <c r="BF370" s="10"/>
      <c r="BG370" s="10"/>
      <c r="BH370" s="10"/>
      <c r="BI370" s="10"/>
      <c r="BJ370" s="10"/>
      <c r="BK370" s="10"/>
      <c r="BL370" s="10"/>
      <c r="BM370" s="10"/>
      <c r="BN370" s="10"/>
      <c r="BO370" s="10"/>
      <c r="BP370" s="10"/>
      <c r="BQ370" s="10"/>
      <c r="BR370" s="10"/>
      <c r="BS370" s="10"/>
      <c r="BT370" s="10"/>
      <c r="BU370" s="10"/>
      <c r="BV370" s="10"/>
      <c r="BW370" s="10"/>
      <c r="BX370" s="10"/>
      <c r="BY370" s="10"/>
      <c r="BZ370" s="10"/>
      <c r="CA370" s="10"/>
      <c r="CB370" s="10"/>
      <c r="CC370" s="10"/>
      <c r="CD370" s="10"/>
      <c r="CE370" s="10"/>
      <c r="CF370" s="10"/>
      <c r="CG370" s="10"/>
      <c r="CH370" s="10"/>
      <c r="CI370" s="10"/>
      <c r="CJ370" s="10"/>
      <c r="CK370" s="10"/>
      <c r="CL370" s="10"/>
      <c r="CM370" s="10"/>
      <c r="CN370" s="10"/>
      <c r="CO370" s="10"/>
      <c r="CP370" s="10"/>
      <c r="CQ370" s="10"/>
      <c r="CR370" s="10"/>
      <c r="CS370" s="10"/>
      <c r="CT370" s="10"/>
      <c r="CU370" s="10"/>
      <c r="CV370" s="10"/>
      <c r="CW370" s="10"/>
      <c r="CX370" s="10"/>
      <c r="CY370" s="10"/>
      <c r="CZ370" s="10"/>
      <c r="DA370" s="10"/>
      <c r="DB370" s="10"/>
      <c r="DC370" s="10"/>
      <c r="DD370" s="10"/>
      <c r="DE370" s="10"/>
      <c r="DF370" s="10"/>
      <c r="DG370" s="10"/>
      <c r="DH370" s="10"/>
    </row>
    <row r="371" spans="1:112" ht="15.75" customHeight="1" x14ac:dyDescent="0.3">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0"/>
      <c r="BC371" s="10"/>
      <c r="BD371" s="10"/>
      <c r="BE371" s="10"/>
      <c r="BF371" s="10"/>
      <c r="BG371" s="10"/>
      <c r="BH371" s="10"/>
      <c r="BI371" s="10"/>
      <c r="BJ371" s="10"/>
      <c r="BK371" s="10"/>
      <c r="BL371" s="10"/>
      <c r="BM371" s="10"/>
      <c r="BN371" s="10"/>
      <c r="BO371" s="10"/>
      <c r="BP371" s="10"/>
      <c r="BQ371" s="10"/>
      <c r="BR371" s="10"/>
      <c r="BS371" s="10"/>
      <c r="BT371" s="10"/>
      <c r="BU371" s="10"/>
      <c r="BV371" s="10"/>
      <c r="BW371" s="10"/>
      <c r="BX371" s="10"/>
      <c r="BY371" s="10"/>
      <c r="BZ371" s="10"/>
      <c r="CA371" s="10"/>
      <c r="CB371" s="10"/>
      <c r="CC371" s="10"/>
      <c r="CD371" s="10"/>
      <c r="CE371" s="10"/>
      <c r="CF371" s="10"/>
      <c r="CG371" s="10"/>
      <c r="CH371" s="10"/>
      <c r="CI371" s="10"/>
      <c r="CJ371" s="10"/>
      <c r="CK371" s="10"/>
      <c r="CL371" s="10"/>
      <c r="CM371" s="10"/>
      <c r="CN371" s="10"/>
      <c r="CO371" s="10"/>
      <c r="CP371" s="10"/>
      <c r="CQ371" s="10"/>
      <c r="CR371" s="10"/>
      <c r="CS371" s="10"/>
      <c r="CT371" s="10"/>
      <c r="CU371" s="10"/>
      <c r="CV371" s="10"/>
      <c r="CW371" s="10"/>
      <c r="CX371" s="10"/>
      <c r="CY371" s="10"/>
      <c r="CZ371" s="10"/>
      <c r="DA371" s="10"/>
      <c r="DB371" s="10"/>
      <c r="DC371" s="10"/>
      <c r="DD371" s="10"/>
      <c r="DE371" s="10"/>
      <c r="DF371" s="10"/>
      <c r="DG371" s="10"/>
      <c r="DH371" s="10"/>
    </row>
    <row r="372" spans="1:112" ht="15.75" customHeight="1" x14ac:dyDescent="0.3">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0"/>
      <c r="BC372" s="10"/>
      <c r="BD372" s="10"/>
      <c r="BE372" s="10"/>
      <c r="BF372" s="10"/>
      <c r="BG372" s="10"/>
      <c r="BH372" s="10"/>
      <c r="BI372" s="10"/>
      <c r="BJ372" s="10"/>
      <c r="BK372" s="10"/>
      <c r="BL372" s="10"/>
      <c r="BM372" s="10"/>
      <c r="BN372" s="10"/>
      <c r="BO372" s="10"/>
      <c r="BP372" s="10"/>
      <c r="BQ372" s="10"/>
      <c r="BR372" s="10"/>
      <c r="BS372" s="10"/>
      <c r="BT372" s="10"/>
      <c r="BU372" s="10"/>
      <c r="BV372" s="10"/>
      <c r="BW372" s="10"/>
      <c r="BX372" s="10"/>
      <c r="BY372" s="10"/>
      <c r="BZ372" s="10"/>
      <c r="CA372" s="10"/>
      <c r="CB372" s="10"/>
      <c r="CC372" s="10"/>
      <c r="CD372" s="10"/>
      <c r="CE372" s="10"/>
      <c r="CF372" s="10"/>
      <c r="CG372" s="10"/>
      <c r="CH372" s="10"/>
      <c r="CI372" s="10"/>
      <c r="CJ372" s="10"/>
      <c r="CK372" s="10"/>
      <c r="CL372" s="10"/>
      <c r="CM372" s="10"/>
      <c r="CN372" s="10"/>
      <c r="CO372" s="10"/>
      <c r="CP372" s="10"/>
      <c r="CQ372" s="10"/>
      <c r="CR372" s="10"/>
      <c r="CS372" s="10"/>
      <c r="CT372" s="10"/>
      <c r="CU372" s="10"/>
      <c r="CV372" s="10"/>
      <c r="CW372" s="10"/>
      <c r="CX372" s="10"/>
      <c r="CY372" s="10"/>
      <c r="CZ372" s="10"/>
      <c r="DA372" s="10"/>
      <c r="DB372" s="10"/>
      <c r="DC372" s="10"/>
      <c r="DD372" s="10"/>
      <c r="DE372" s="10"/>
      <c r="DF372" s="10"/>
      <c r="DG372" s="10"/>
      <c r="DH372" s="10"/>
    </row>
    <row r="373" spans="1:112" ht="15.75" customHeight="1" x14ac:dyDescent="0.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0"/>
      <c r="BC373" s="10"/>
      <c r="BD373" s="10"/>
      <c r="BE373" s="10"/>
      <c r="BF373" s="10"/>
      <c r="BG373" s="10"/>
      <c r="BH373" s="10"/>
      <c r="BI373" s="10"/>
      <c r="BJ373" s="10"/>
      <c r="BK373" s="10"/>
      <c r="BL373" s="10"/>
      <c r="BM373" s="10"/>
      <c r="BN373" s="10"/>
      <c r="BO373" s="10"/>
      <c r="BP373" s="10"/>
      <c r="BQ373" s="10"/>
      <c r="BR373" s="10"/>
      <c r="BS373" s="10"/>
      <c r="BT373" s="10"/>
      <c r="BU373" s="10"/>
      <c r="BV373" s="10"/>
      <c r="BW373" s="10"/>
      <c r="BX373" s="10"/>
      <c r="BY373" s="10"/>
      <c r="BZ373" s="10"/>
      <c r="CA373" s="10"/>
      <c r="CB373" s="10"/>
      <c r="CC373" s="10"/>
      <c r="CD373" s="10"/>
      <c r="CE373" s="10"/>
      <c r="CF373" s="10"/>
      <c r="CG373" s="10"/>
      <c r="CH373" s="10"/>
      <c r="CI373" s="10"/>
      <c r="CJ373" s="10"/>
      <c r="CK373" s="10"/>
      <c r="CL373" s="10"/>
      <c r="CM373" s="10"/>
      <c r="CN373" s="10"/>
      <c r="CO373" s="10"/>
      <c r="CP373" s="10"/>
      <c r="CQ373" s="10"/>
      <c r="CR373" s="10"/>
      <c r="CS373" s="10"/>
      <c r="CT373" s="10"/>
      <c r="CU373" s="10"/>
      <c r="CV373" s="10"/>
      <c r="CW373" s="10"/>
      <c r="CX373" s="10"/>
      <c r="CY373" s="10"/>
      <c r="CZ373" s="10"/>
      <c r="DA373" s="10"/>
      <c r="DB373" s="10"/>
      <c r="DC373" s="10"/>
      <c r="DD373" s="10"/>
      <c r="DE373" s="10"/>
      <c r="DF373" s="10"/>
      <c r="DG373" s="10"/>
      <c r="DH373" s="10"/>
    </row>
    <row r="374" spans="1:112" ht="15.75" customHeight="1" x14ac:dyDescent="0.3">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0"/>
      <c r="BC374" s="10"/>
      <c r="BD374" s="10"/>
      <c r="BE374" s="10"/>
      <c r="BF374" s="10"/>
      <c r="BG374" s="10"/>
      <c r="BH374" s="10"/>
      <c r="BI374" s="10"/>
      <c r="BJ374" s="10"/>
      <c r="BK374" s="10"/>
      <c r="BL374" s="10"/>
      <c r="BM374" s="10"/>
      <c r="BN374" s="10"/>
      <c r="BO374" s="10"/>
      <c r="BP374" s="10"/>
      <c r="BQ374" s="10"/>
      <c r="BR374" s="10"/>
      <c r="BS374" s="10"/>
      <c r="BT374" s="10"/>
      <c r="BU374" s="10"/>
      <c r="BV374" s="10"/>
      <c r="BW374" s="10"/>
      <c r="BX374" s="10"/>
      <c r="BY374" s="10"/>
      <c r="BZ374" s="10"/>
      <c r="CA374" s="10"/>
      <c r="CB374" s="10"/>
      <c r="CC374" s="10"/>
      <c r="CD374" s="10"/>
      <c r="CE374" s="10"/>
      <c r="CF374" s="10"/>
      <c r="CG374" s="10"/>
      <c r="CH374" s="10"/>
      <c r="CI374" s="10"/>
      <c r="CJ374" s="10"/>
      <c r="CK374" s="10"/>
      <c r="CL374" s="10"/>
      <c r="CM374" s="10"/>
      <c r="CN374" s="10"/>
      <c r="CO374" s="10"/>
      <c r="CP374" s="10"/>
      <c r="CQ374" s="10"/>
      <c r="CR374" s="10"/>
      <c r="CS374" s="10"/>
      <c r="CT374" s="10"/>
      <c r="CU374" s="10"/>
      <c r="CV374" s="10"/>
      <c r="CW374" s="10"/>
      <c r="CX374" s="10"/>
      <c r="CY374" s="10"/>
      <c r="CZ374" s="10"/>
      <c r="DA374" s="10"/>
      <c r="DB374" s="10"/>
      <c r="DC374" s="10"/>
      <c r="DD374" s="10"/>
      <c r="DE374" s="10"/>
      <c r="DF374" s="10"/>
      <c r="DG374" s="10"/>
      <c r="DH374" s="10"/>
    </row>
    <row r="375" spans="1:112" ht="15.75" customHeight="1" x14ac:dyDescent="0.3">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0"/>
      <c r="BC375" s="10"/>
      <c r="BD375" s="10"/>
      <c r="BE375" s="10"/>
      <c r="BF375" s="10"/>
      <c r="BG375" s="10"/>
      <c r="BH375" s="10"/>
      <c r="BI375" s="10"/>
      <c r="BJ375" s="10"/>
      <c r="BK375" s="10"/>
      <c r="BL375" s="10"/>
      <c r="BM375" s="10"/>
      <c r="BN375" s="10"/>
      <c r="BO375" s="10"/>
      <c r="BP375" s="10"/>
      <c r="BQ375" s="10"/>
      <c r="BR375" s="10"/>
      <c r="BS375" s="10"/>
      <c r="BT375" s="10"/>
      <c r="BU375" s="10"/>
      <c r="BV375" s="10"/>
      <c r="BW375" s="10"/>
      <c r="BX375" s="10"/>
      <c r="BY375" s="10"/>
      <c r="BZ375" s="10"/>
      <c r="CA375" s="10"/>
      <c r="CB375" s="10"/>
      <c r="CC375" s="10"/>
      <c r="CD375" s="10"/>
      <c r="CE375" s="10"/>
      <c r="CF375" s="10"/>
      <c r="CG375" s="10"/>
      <c r="CH375" s="10"/>
      <c r="CI375" s="10"/>
      <c r="CJ375" s="10"/>
      <c r="CK375" s="10"/>
      <c r="CL375" s="10"/>
      <c r="CM375" s="10"/>
      <c r="CN375" s="10"/>
      <c r="CO375" s="10"/>
      <c r="CP375" s="10"/>
      <c r="CQ375" s="10"/>
      <c r="CR375" s="10"/>
      <c r="CS375" s="10"/>
      <c r="CT375" s="10"/>
      <c r="CU375" s="10"/>
      <c r="CV375" s="10"/>
      <c r="CW375" s="10"/>
      <c r="CX375" s="10"/>
      <c r="CY375" s="10"/>
      <c r="CZ375" s="10"/>
      <c r="DA375" s="10"/>
      <c r="DB375" s="10"/>
      <c r="DC375" s="10"/>
      <c r="DD375" s="10"/>
      <c r="DE375" s="10"/>
      <c r="DF375" s="10"/>
      <c r="DG375" s="10"/>
      <c r="DH375" s="10"/>
    </row>
    <row r="376" spans="1:112" ht="15.75" customHeight="1" x14ac:dyDescent="0.3">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0"/>
      <c r="BC376" s="10"/>
      <c r="BD376" s="10"/>
      <c r="BE376" s="10"/>
      <c r="BF376" s="10"/>
      <c r="BG376" s="10"/>
      <c r="BH376" s="10"/>
      <c r="BI376" s="10"/>
      <c r="BJ376" s="10"/>
      <c r="BK376" s="10"/>
      <c r="BL376" s="10"/>
      <c r="BM376" s="10"/>
      <c r="BN376" s="10"/>
      <c r="BO376" s="10"/>
      <c r="BP376" s="10"/>
      <c r="BQ376" s="10"/>
      <c r="BR376" s="10"/>
      <c r="BS376" s="10"/>
      <c r="BT376" s="10"/>
      <c r="BU376" s="10"/>
      <c r="BV376" s="10"/>
      <c r="BW376" s="10"/>
      <c r="BX376" s="10"/>
      <c r="BY376" s="10"/>
      <c r="BZ376" s="10"/>
      <c r="CA376" s="10"/>
      <c r="CB376" s="10"/>
      <c r="CC376" s="10"/>
      <c r="CD376" s="10"/>
      <c r="CE376" s="10"/>
      <c r="CF376" s="10"/>
      <c r="CG376" s="10"/>
      <c r="CH376" s="10"/>
      <c r="CI376" s="10"/>
      <c r="CJ376" s="10"/>
      <c r="CK376" s="10"/>
      <c r="CL376" s="10"/>
      <c r="CM376" s="10"/>
      <c r="CN376" s="10"/>
      <c r="CO376" s="10"/>
      <c r="CP376" s="10"/>
      <c r="CQ376" s="10"/>
      <c r="CR376" s="10"/>
      <c r="CS376" s="10"/>
      <c r="CT376" s="10"/>
      <c r="CU376" s="10"/>
      <c r="CV376" s="10"/>
      <c r="CW376" s="10"/>
      <c r="CX376" s="10"/>
      <c r="CY376" s="10"/>
      <c r="CZ376" s="10"/>
      <c r="DA376" s="10"/>
      <c r="DB376" s="10"/>
      <c r="DC376" s="10"/>
      <c r="DD376" s="10"/>
      <c r="DE376" s="10"/>
      <c r="DF376" s="10"/>
      <c r="DG376" s="10"/>
      <c r="DH376" s="10"/>
    </row>
    <row r="377" spans="1:112" ht="15.75" customHeight="1" x14ac:dyDescent="0.3">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0"/>
      <c r="BC377" s="10"/>
      <c r="BD377" s="10"/>
      <c r="BE377" s="10"/>
      <c r="BF377" s="10"/>
      <c r="BG377" s="10"/>
      <c r="BH377" s="10"/>
      <c r="BI377" s="10"/>
      <c r="BJ377" s="10"/>
      <c r="BK377" s="10"/>
      <c r="BL377" s="10"/>
      <c r="BM377" s="10"/>
      <c r="BN377" s="10"/>
      <c r="BO377" s="10"/>
      <c r="BP377" s="10"/>
      <c r="BQ377" s="10"/>
      <c r="BR377" s="10"/>
      <c r="BS377" s="10"/>
      <c r="BT377" s="10"/>
      <c r="BU377" s="10"/>
      <c r="BV377" s="10"/>
      <c r="BW377" s="10"/>
      <c r="BX377" s="10"/>
      <c r="BY377" s="10"/>
      <c r="BZ377" s="10"/>
      <c r="CA377" s="10"/>
      <c r="CB377" s="10"/>
      <c r="CC377" s="10"/>
      <c r="CD377" s="10"/>
      <c r="CE377" s="10"/>
      <c r="CF377" s="10"/>
      <c r="CG377" s="10"/>
      <c r="CH377" s="10"/>
      <c r="CI377" s="10"/>
      <c r="CJ377" s="10"/>
      <c r="CK377" s="10"/>
      <c r="CL377" s="10"/>
      <c r="CM377" s="10"/>
      <c r="CN377" s="10"/>
      <c r="CO377" s="10"/>
      <c r="CP377" s="10"/>
      <c r="CQ377" s="10"/>
      <c r="CR377" s="10"/>
      <c r="CS377" s="10"/>
      <c r="CT377" s="10"/>
      <c r="CU377" s="10"/>
      <c r="CV377" s="10"/>
      <c r="CW377" s="10"/>
      <c r="CX377" s="10"/>
      <c r="CY377" s="10"/>
      <c r="CZ377" s="10"/>
      <c r="DA377" s="10"/>
      <c r="DB377" s="10"/>
      <c r="DC377" s="10"/>
      <c r="DD377" s="10"/>
      <c r="DE377" s="10"/>
      <c r="DF377" s="10"/>
      <c r="DG377" s="10"/>
      <c r="DH377" s="10"/>
    </row>
    <row r="378" spans="1:112" ht="15.75" customHeight="1" x14ac:dyDescent="0.3">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0"/>
      <c r="BC378" s="10"/>
      <c r="BD378" s="10"/>
      <c r="BE378" s="10"/>
      <c r="BF378" s="10"/>
      <c r="BG378" s="10"/>
      <c r="BH378" s="10"/>
      <c r="BI378" s="10"/>
      <c r="BJ378" s="10"/>
      <c r="BK378" s="10"/>
      <c r="BL378" s="10"/>
      <c r="BM378" s="10"/>
      <c r="BN378" s="10"/>
      <c r="BO378" s="10"/>
      <c r="BP378" s="10"/>
      <c r="BQ378" s="10"/>
      <c r="BR378" s="10"/>
      <c r="BS378" s="10"/>
      <c r="BT378" s="10"/>
      <c r="BU378" s="10"/>
      <c r="BV378" s="10"/>
      <c r="BW378" s="10"/>
      <c r="BX378" s="10"/>
      <c r="BY378" s="10"/>
      <c r="BZ378" s="10"/>
      <c r="CA378" s="10"/>
      <c r="CB378" s="10"/>
      <c r="CC378" s="10"/>
      <c r="CD378" s="10"/>
      <c r="CE378" s="10"/>
      <c r="CF378" s="10"/>
      <c r="CG378" s="10"/>
      <c r="CH378" s="10"/>
      <c r="CI378" s="10"/>
      <c r="CJ378" s="10"/>
      <c r="CK378" s="10"/>
      <c r="CL378" s="10"/>
      <c r="CM378" s="10"/>
      <c r="CN378" s="10"/>
      <c r="CO378" s="10"/>
      <c r="CP378" s="10"/>
      <c r="CQ378" s="10"/>
      <c r="CR378" s="10"/>
      <c r="CS378" s="10"/>
      <c r="CT378" s="10"/>
      <c r="CU378" s="10"/>
      <c r="CV378" s="10"/>
      <c r="CW378" s="10"/>
      <c r="CX378" s="10"/>
      <c r="CY378" s="10"/>
      <c r="CZ378" s="10"/>
      <c r="DA378" s="10"/>
      <c r="DB378" s="10"/>
      <c r="DC378" s="10"/>
      <c r="DD378" s="10"/>
      <c r="DE378" s="10"/>
      <c r="DF378" s="10"/>
      <c r="DG378" s="10"/>
      <c r="DH378" s="10"/>
    </row>
    <row r="379" spans="1:112" ht="15.75" customHeight="1" x14ac:dyDescent="0.3">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0"/>
      <c r="BC379" s="10"/>
      <c r="BD379" s="10"/>
      <c r="BE379" s="10"/>
      <c r="BF379" s="10"/>
      <c r="BG379" s="10"/>
      <c r="BH379" s="10"/>
      <c r="BI379" s="10"/>
      <c r="BJ379" s="10"/>
      <c r="BK379" s="10"/>
      <c r="BL379" s="10"/>
      <c r="BM379" s="10"/>
      <c r="BN379" s="10"/>
      <c r="BO379" s="10"/>
      <c r="BP379" s="10"/>
      <c r="BQ379" s="10"/>
      <c r="BR379" s="10"/>
      <c r="BS379" s="10"/>
      <c r="BT379" s="10"/>
      <c r="BU379" s="10"/>
      <c r="BV379" s="10"/>
      <c r="BW379" s="10"/>
      <c r="BX379" s="10"/>
      <c r="BY379" s="10"/>
      <c r="BZ379" s="10"/>
      <c r="CA379" s="10"/>
      <c r="CB379" s="10"/>
      <c r="CC379" s="10"/>
      <c r="CD379" s="10"/>
      <c r="CE379" s="10"/>
      <c r="CF379" s="10"/>
      <c r="CG379" s="10"/>
      <c r="CH379" s="10"/>
      <c r="CI379" s="10"/>
      <c r="CJ379" s="10"/>
      <c r="CK379" s="10"/>
      <c r="CL379" s="10"/>
      <c r="CM379" s="10"/>
      <c r="CN379" s="10"/>
      <c r="CO379" s="10"/>
      <c r="CP379" s="10"/>
      <c r="CQ379" s="10"/>
      <c r="CR379" s="10"/>
      <c r="CS379" s="10"/>
      <c r="CT379" s="10"/>
      <c r="CU379" s="10"/>
      <c r="CV379" s="10"/>
      <c r="CW379" s="10"/>
      <c r="CX379" s="10"/>
      <c r="CY379" s="10"/>
      <c r="CZ379" s="10"/>
      <c r="DA379" s="10"/>
      <c r="DB379" s="10"/>
      <c r="DC379" s="10"/>
      <c r="DD379" s="10"/>
      <c r="DE379" s="10"/>
      <c r="DF379" s="10"/>
      <c r="DG379" s="10"/>
      <c r="DH379" s="10"/>
    </row>
    <row r="380" spans="1:112" ht="15.75" customHeight="1" x14ac:dyDescent="0.3">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0"/>
      <c r="BC380" s="10"/>
      <c r="BD380" s="10"/>
      <c r="BE380" s="10"/>
      <c r="BF380" s="10"/>
      <c r="BG380" s="10"/>
      <c r="BH380" s="10"/>
      <c r="BI380" s="10"/>
      <c r="BJ380" s="10"/>
      <c r="BK380" s="10"/>
      <c r="BL380" s="10"/>
      <c r="BM380" s="10"/>
      <c r="BN380" s="10"/>
      <c r="BO380" s="10"/>
      <c r="BP380" s="10"/>
      <c r="BQ380" s="10"/>
      <c r="BR380" s="10"/>
      <c r="BS380" s="10"/>
      <c r="BT380" s="10"/>
      <c r="BU380" s="10"/>
      <c r="BV380" s="10"/>
      <c r="BW380" s="10"/>
      <c r="BX380" s="10"/>
      <c r="BY380" s="10"/>
      <c r="BZ380" s="10"/>
      <c r="CA380" s="10"/>
      <c r="CB380" s="10"/>
      <c r="CC380" s="10"/>
      <c r="CD380" s="10"/>
      <c r="CE380" s="10"/>
      <c r="CF380" s="10"/>
      <c r="CG380" s="10"/>
      <c r="CH380" s="10"/>
      <c r="CI380" s="10"/>
      <c r="CJ380" s="10"/>
      <c r="CK380" s="10"/>
      <c r="CL380" s="10"/>
      <c r="CM380" s="10"/>
      <c r="CN380" s="10"/>
      <c r="CO380" s="10"/>
      <c r="CP380" s="10"/>
      <c r="CQ380" s="10"/>
      <c r="CR380" s="10"/>
      <c r="CS380" s="10"/>
      <c r="CT380" s="10"/>
      <c r="CU380" s="10"/>
      <c r="CV380" s="10"/>
      <c r="CW380" s="10"/>
      <c r="CX380" s="10"/>
      <c r="CY380" s="10"/>
      <c r="CZ380" s="10"/>
      <c r="DA380" s="10"/>
      <c r="DB380" s="10"/>
      <c r="DC380" s="10"/>
      <c r="DD380" s="10"/>
      <c r="DE380" s="10"/>
      <c r="DF380" s="10"/>
      <c r="DG380" s="10"/>
      <c r="DH380" s="10"/>
    </row>
    <row r="381" spans="1:112" ht="15.75" customHeight="1" x14ac:dyDescent="0.3">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0"/>
      <c r="BC381" s="10"/>
      <c r="BD381" s="10"/>
      <c r="BE381" s="10"/>
      <c r="BF381" s="10"/>
      <c r="BG381" s="10"/>
      <c r="BH381" s="10"/>
      <c r="BI381" s="10"/>
      <c r="BJ381" s="10"/>
      <c r="BK381" s="10"/>
      <c r="BL381" s="10"/>
      <c r="BM381" s="10"/>
      <c r="BN381" s="10"/>
      <c r="BO381" s="10"/>
      <c r="BP381" s="10"/>
      <c r="BQ381" s="10"/>
      <c r="BR381" s="10"/>
      <c r="BS381" s="10"/>
      <c r="BT381" s="10"/>
      <c r="BU381" s="10"/>
      <c r="BV381" s="10"/>
      <c r="BW381" s="10"/>
      <c r="BX381" s="10"/>
      <c r="BY381" s="10"/>
      <c r="BZ381" s="10"/>
      <c r="CA381" s="10"/>
      <c r="CB381" s="10"/>
      <c r="CC381" s="10"/>
      <c r="CD381" s="10"/>
      <c r="CE381" s="10"/>
      <c r="CF381" s="10"/>
      <c r="CG381" s="10"/>
      <c r="CH381" s="10"/>
      <c r="CI381" s="10"/>
      <c r="CJ381" s="10"/>
      <c r="CK381" s="10"/>
      <c r="CL381" s="10"/>
      <c r="CM381" s="10"/>
      <c r="CN381" s="10"/>
      <c r="CO381" s="10"/>
      <c r="CP381" s="10"/>
      <c r="CQ381" s="10"/>
      <c r="CR381" s="10"/>
      <c r="CS381" s="10"/>
      <c r="CT381" s="10"/>
      <c r="CU381" s="10"/>
      <c r="CV381" s="10"/>
      <c r="CW381" s="10"/>
      <c r="CX381" s="10"/>
      <c r="CY381" s="10"/>
      <c r="CZ381" s="10"/>
      <c r="DA381" s="10"/>
      <c r="DB381" s="10"/>
      <c r="DC381" s="10"/>
      <c r="DD381" s="10"/>
      <c r="DE381" s="10"/>
      <c r="DF381" s="10"/>
      <c r="DG381" s="10"/>
      <c r="DH381" s="10"/>
    </row>
    <row r="382" spans="1:112" ht="15.75" customHeight="1" x14ac:dyDescent="0.3">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0"/>
      <c r="BC382" s="10"/>
      <c r="BD382" s="10"/>
      <c r="BE382" s="10"/>
      <c r="BF382" s="10"/>
      <c r="BG382" s="10"/>
      <c r="BH382" s="10"/>
      <c r="BI382" s="10"/>
      <c r="BJ382" s="10"/>
      <c r="BK382" s="10"/>
      <c r="BL382" s="10"/>
      <c r="BM382" s="10"/>
      <c r="BN382" s="10"/>
      <c r="BO382" s="10"/>
      <c r="BP382" s="10"/>
      <c r="BQ382" s="10"/>
      <c r="BR382" s="10"/>
      <c r="BS382" s="10"/>
      <c r="BT382" s="10"/>
      <c r="BU382" s="10"/>
      <c r="BV382" s="10"/>
      <c r="BW382" s="10"/>
      <c r="BX382" s="10"/>
      <c r="BY382" s="10"/>
      <c r="BZ382" s="10"/>
      <c r="CA382" s="10"/>
      <c r="CB382" s="10"/>
      <c r="CC382" s="10"/>
      <c r="CD382" s="10"/>
      <c r="CE382" s="10"/>
      <c r="CF382" s="10"/>
      <c r="CG382" s="10"/>
      <c r="CH382" s="10"/>
      <c r="CI382" s="10"/>
      <c r="CJ382" s="10"/>
      <c r="CK382" s="10"/>
      <c r="CL382" s="10"/>
      <c r="CM382" s="10"/>
      <c r="CN382" s="10"/>
      <c r="CO382" s="10"/>
      <c r="CP382" s="10"/>
      <c r="CQ382" s="10"/>
      <c r="CR382" s="10"/>
      <c r="CS382" s="10"/>
      <c r="CT382" s="10"/>
      <c r="CU382" s="10"/>
      <c r="CV382" s="10"/>
      <c r="CW382" s="10"/>
      <c r="CX382" s="10"/>
      <c r="CY382" s="10"/>
      <c r="CZ382" s="10"/>
      <c r="DA382" s="10"/>
      <c r="DB382" s="10"/>
      <c r="DC382" s="10"/>
      <c r="DD382" s="10"/>
      <c r="DE382" s="10"/>
      <c r="DF382" s="10"/>
      <c r="DG382" s="10"/>
      <c r="DH382" s="10"/>
    </row>
    <row r="383" spans="1:112" ht="15.75" customHeight="1" x14ac:dyDescent="0.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0"/>
      <c r="BC383" s="10"/>
      <c r="BD383" s="10"/>
      <c r="BE383" s="10"/>
      <c r="BF383" s="10"/>
      <c r="BG383" s="10"/>
      <c r="BH383" s="10"/>
      <c r="BI383" s="10"/>
      <c r="BJ383" s="10"/>
      <c r="BK383" s="10"/>
      <c r="BL383" s="10"/>
      <c r="BM383" s="10"/>
      <c r="BN383" s="10"/>
      <c r="BO383" s="10"/>
      <c r="BP383" s="10"/>
      <c r="BQ383" s="10"/>
      <c r="BR383" s="10"/>
      <c r="BS383" s="10"/>
      <c r="BT383" s="10"/>
      <c r="BU383" s="10"/>
      <c r="BV383" s="10"/>
      <c r="BW383" s="10"/>
      <c r="BX383" s="10"/>
      <c r="BY383" s="10"/>
      <c r="BZ383" s="10"/>
      <c r="CA383" s="10"/>
      <c r="CB383" s="10"/>
      <c r="CC383" s="10"/>
      <c r="CD383" s="10"/>
      <c r="CE383" s="10"/>
      <c r="CF383" s="10"/>
      <c r="CG383" s="10"/>
      <c r="CH383" s="10"/>
      <c r="CI383" s="10"/>
      <c r="CJ383" s="10"/>
      <c r="CK383" s="10"/>
      <c r="CL383" s="10"/>
      <c r="CM383" s="10"/>
      <c r="CN383" s="10"/>
      <c r="CO383" s="10"/>
      <c r="CP383" s="10"/>
      <c r="CQ383" s="10"/>
      <c r="CR383" s="10"/>
      <c r="CS383" s="10"/>
      <c r="CT383" s="10"/>
      <c r="CU383" s="10"/>
      <c r="CV383" s="10"/>
      <c r="CW383" s="10"/>
      <c r="CX383" s="10"/>
      <c r="CY383" s="10"/>
      <c r="CZ383" s="10"/>
      <c r="DA383" s="10"/>
      <c r="DB383" s="10"/>
      <c r="DC383" s="10"/>
      <c r="DD383" s="10"/>
      <c r="DE383" s="10"/>
      <c r="DF383" s="10"/>
      <c r="DG383" s="10"/>
      <c r="DH383" s="10"/>
    </row>
    <row r="384" spans="1:112" ht="15.75" customHeight="1" x14ac:dyDescent="0.3">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0"/>
      <c r="BC384" s="10"/>
      <c r="BD384" s="10"/>
      <c r="BE384" s="10"/>
      <c r="BF384" s="10"/>
      <c r="BG384" s="10"/>
      <c r="BH384" s="10"/>
      <c r="BI384" s="10"/>
      <c r="BJ384" s="10"/>
      <c r="BK384" s="10"/>
      <c r="BL384" s="10"/>
      <c r="BM384" s="10"/>
      <c r="BN384" s="10"/>
      <c r="BO384" s="10"/>
      <c r="BP384" s="10"/>
      <c r="BQ384" s="10"/>
      <c r="BR384" s="10"/>
      <c r="BS384" s="10"/>
      <c r="BT384" s="10"/>
      <c r="BU384" s="10"/>
      <c r="BV384" s="10"/>
      <c r="BW384" s="10"/>
      <c r="BX384" s="10"/>
      <c r="BY384" s="10"/>
      <c r="BZ384" s="10"/>
      <c r="CA384" s="10"/>
      <c r="CB384" s="10"/>
      <c r="CC384" s="10"/>
      <c r="CD384" s="10"/>
      <c r="CE384" s="10"/>
      <c r="CF384" s="10"/>
      <c r="CG384" s="10"/>
      <c r="CH384" s="10"/>
      <c r="CI384" s="10"/>
      <c r="CJ384" s="10"/>
      <c r="CK384" s="10"/>
      <c r="CL384" s="10"/>
      <c r="CM384" s="10"/>
      <c r="CN384" s="10"/>
      <c r="CO384" s="10"/>
      <c r="CP384" s="10"/>
      <c r="CQ384" s="10"/>
      <c r="CR384" s="10"/>
      <c r="CS384" s="10"/>
      <c r="CT384" s="10"/>
      <c r="CU384" s="10"/>
      <c r="CV384" s="10"/>
      <c r="CW384" s="10"/>
      <c r="CX384" s="10"/>
      <c r="CY384" s="10"/>
      <c r="CZ384" s="10"/>
      <c r="DA384" s="10"/>
      <c r="DB384" s="10"/>
      <c r="DC384" s="10"/>
      <c r="DD384" s="10"/>
      <c r="DE384" s="10"/>
      <c r="DF384" s="10"/>
      <c r="DG384" s="10"/>
      <c r="DH384" s="10"/>
    </row>
    <row r="385" spans="1:112" ht="15.75" customHeight="1" x14ac:dyDescent="0.3">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0"/>
      <c r="BC385" s="10"/>
      <c r="BD385" s="10"/>
      <c r="BE385" s="10"/>
      <c r="BF385" s="10"/>
      <c r="BG385" s="10"/>
      <c r="BH385" s="10"/>
      <c r="BI385" s="10"/>
      <c r="BJ385" s="10"/>
      <c r="BK385" s="10"/>
      <c r="BL385" s="10"/>
      <c r="BM385" s="10"/>
      <c r="BN385" s="10"/>
      <c r="BO385" s="10"/>
      <c r="BP385" s="10"/>
      <c r="BQ385" s="10"/>
      <c r="BR385" s="10"/>
      <c r="BS385" s="10"/>
      <c r="BT385" s="10"/>
      <c r="BU385" s="10"/>
      <c r="BV385" s="10"/>
      <c r="BW385" s="10"/>
      <c r="BX385" s="10"/>
      <c r="BY385" s="10"/>
      <c r="BZ385" s="10"/>
      <c r="CA385" s="10"/>
      <c r="CB385" s="10"/>
      <c r="CC385" s="10"/>
      <c r="CD385" s="10"/>
      <c r="CE385" s="10"/>
      <c r="CF385" s="10"/>
      <c r="CG385" s="10"/>
      <c r="CH385" s="10"/>
      <c r="CI385" s="10"/>
      <c r="CJ385" s="10"/>
      <c r="CK385" s="10"/>
      <c r="CL385" s="10"/>
      <c r="CM385" s="10"/>
      <c r="CN385" s="10"/>
      <c r="CO385" s="10"/>
      <c r="CP385" s="10"/>
      <c r="CQ385" s="10"/>
      <c r="CR385" s="10"/>
      <c r="CS385" s="10"/>
      <c r="CT385" s="10"/>
      <c r="CU385" s="10"/>
      <c r="CV385" s="10"/>
      <c r="CW385" s="10"/>
      <c r="CX385" s="10"/>
      <c r="CY385" s="10"/>
      <c r="CZ385" s="10"/>
      <c r="DA385" s="10"/>
      <c r="DB385" s="10"/>
      <c r="DC385" s="10"/>
      <c r="DD385" s="10"/>
      <c r="DE385" s="10"/>
      <c r="DF385" s="10"/>
      <c r="DG385" s="10"/>
      <c r="DH385" s="10"/>
    </row>
    <row r="386" spans="1:112" ht="15.75" customHeight="1" x14ac:dyDescent="0.3">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0"/>
      <c r="BC386" s="10"/>
      <c r="BD386" s="10"/>
      <c r="BE386" s="10"/>
      <c r="BF386" s="10"/>
      <c r="BG386" s="10"/>
      <c r="BH386" s="10"/>
      <c r="BI386" s="10"/>
      <c r="BJ386" s="10"/>
      <c r="BK386" s="10"/>
      <c r="BL386" s="10"/>
      <c r="BM386" s="10"/>
      <c r="BN386" s="10"/>
      <c r="BO386" s="10"/>
      <c r="BP386" s="10"/>
      <c r="BQ386" s="10"/>
      <c r="BR386" s="10"/>
      <c r="BS386" s="10"/>
      <c r="BT386" s="10"/>
      <c r="BU386" s="10"/>
      <c r="BV386" s="10"/>
      <c r="BW386" s="10"/>
      <c r="BX386" s="10"/>
      <c r="BY386" s="10"/>
      <c r="BZ386" s="10"/>
      <c r="CA386" s="10"/>
      <c r="CB386" s="10"/>
      <c r="CC386" s="10"/>
      <c r="CD386" s="10"/>
      <c r="CE386" s="10"/>
      <c r="CF386" s="10"/>
      <c r="CG386" s="10"/>
      <c r="CH386" s="10"/>
      <c r="CI386" s="10"/>
      <c r="CJ386" s="10"/>
      <c r="CK386" s="10"/>
      <c r="CL386" s="10"/>
      <c r="CM386" s="10"/>
      <c r="CN386" s="10"/>
      <c r="CO386" s="10"/>
      <c r="CP386" s="10"/>
      <c r="CQ386" s="10"/>
      <c r="CR386" s="10"/>
      <c r="CS386" s="10"/>
      <c r="CT386" s="10"/>
      <c r="CU386" s="10"/>
      <c r="CV386" s="10"/>
      <c r="CW386" s="10"/>
      <c r="CX386" s="10"/>
      <c r="CY386" s="10"/>
      <c r="CZ386" s="10"/>
      <c r="DA386" s="10"/>
      <c r="DB386" s="10"/>
      <c r="DC386" s="10"/>
      <c r="DD386" s="10"/>
      <c r="DE386" s="10"/>
      <c r="DF386" s="10"/>
      <c r="DG386" s="10"/>
      <c r="DH386" s="10"/>
    </row>
    <row r="387" spans="1:112" ht="15.75" customHeight="1" x14ac:dyDescent="0.3">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0"/>
      <c r="BC387" s="10"/>
      <c r="BD387" s="10"/>
      <c r="BE387" s="10"/>
      <c r="BF387" s="10"/>
      <c r="BG387" s="10"/>
      <c r="BH387" s="10"/>
      <c r="BI387" s="10"/>
      <c r="BJ387" s="10"/>
      <c r="BK387" s="10"/>
      <c r="BL387" s="10"/>
      <c r="BM387" s="10"/>
      <c r="BN387" s="10"/>
      <c r="BO387" s="10"/>
      <c r="BP387" s="10"/>
      <c r="BQ387" s="10"/>
      <c r="BR387" s="10"/>
      <c r="BS387" s="10"/>
      <c r="BT387" s="10"/>
      <c r="BU387" s="10"/>
      <c r="BV387" s="10"/>
      <c r="BW387" s="10"/>
      <c r="BX387" s="10"/>
      <c r="BY387" s="10"/>
      <c r="BZ387" s="10"/>
      <c r="CA387" s="10"/>
      <c r="CB387" s="10"/>
      <c r="CC387" s="10"/>
      <c r="CD387" s="10"/>
      <c r="CE387" s="10"/>
      <c r="CF387" s="10"/>
      <c r="CG387" s="10"/>
      <c r="CH387" s="10"/>
      <c r="CI387" s="10"/>
      <c r="CJ387" s="10"/>
      <c r="CK387" s="10"/>
      <c r="CL387" s="10"/>
      <c r="CM387" s="10"/>
      <c r="CN387" s="10"/>
      <c r="CO387" s="10"/>
      <c r="CP387" s="10"/>
      <c r="CQ387" s="10"/>
      <c r="CR387" s="10"/>
      <c r="CS387" s="10"/>
      <c r="CT387" s="10"/>
      <c r="CU387" s="10"/>
      <c r="CV387" s="10"/>
      <c r="CW387" s="10"/>
      <c r="CX387" s="10"/>
      <c r="CY387" s="10"/>
      <c r="CZ387" s="10"/>
      <c r="DA387" s="10"/>
      <c r="DB387" s="10"/>
      <c r="DC387" s="10"/>
      <c r="DD387" s="10"/>
      <c r="DE387" s="10"/>
      <c r="DF387" s="10"/>
      <c r="DG387" s="10"/>
      <c r="DH387" s="10"/>
    </row>
    <row r="388" spans="1:112" ht="15.75" customHeight="1" x14ac:dyDescent="0.3">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0"/>
      <c r="BC388" s="10"/>
      <c r="BD388" s="10"/>
      <c r="BE388" s="10"/>
      <c r="BF388" s="10"/>
      <c r="BG388" s="10"/>
      <c r="BH388" s="10"/>
      <c r="BI388" s="10"/>
      <c r="BJ388" s="10"/>
      <c r="BK388" s="10"/>
      <c r="BL388" s="10"/>
      <c r="BM388" s="10"/>
      <c r="BN388" s="10"/>
      <c r="BO388" s="10"/>
      <c r="BP388" s="10"/>
      <c r="BQ388" s="10"/>
      <c r="BR388" s="10"/>
      <c r="BS388" s="10"/>
      <c r="BT388" s="10"/>
      <c r="BU388" s="10"/>
      <c r="BV388" s="10"/>
      <c r="BW388" s="10"/>
      <c r="BX388" s="10"/>
      <c r="BY388" s="10"/>
      <c r="BZ388" s="10"/>
      <c r="CA388" s="10"/>
      <c r="CB388" s="10"/>
      <c r="CC388" s="10"/>
      <c r="CD388" s="10"/>
      <c r="CE388" s="10"/>
      <c r="CF388" s="10"/>
      <c r="CG388" s="10"/>
      <c r="CH388" s="10"/>
      <c r="CI388" s="10"/>
      <c r="CJ388" s="10"/>
      <c r="CK388" s="10"/>
      <c r="CL388" s="10"/>
      <c r="CM388" s="10"/>
      <c r="CN388" s="10"/>
      <c r="CO388" s="10"/>
      <c r="CP388" s="10"/>
      <c r="CQ388" s="10"/>
      <c r="CR388" s="10"/>
      <c r="CS388" s="10"/>
      <c r="CT388" s="10"/>
      <c r="CU388" s="10"/>
      <c r="CV388" s="10"/>
      <c r="CW388" s="10"/>
      <c r="CX388" s="10"/>
      <c r="CY388" s="10"/>
      <c r="CZ388" s="10"/>
      <c r="DA388" s="10"/>
      <c r="DB388" s="10"/>
      <c r="DC388" s="10"/>
      <c r="DD388" s="10"/>
      <c r="DE388" s="10"/>
      <c r="DF388" s="10"/>
      <c r="DG388" s="10"/>
      <c r="DH388" s="10"/>
    </row>
    <row r="389" spans="1:112" ht="15.75" customHeight="1" x14ac:dyDescent="0.3">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0"/>
      <c r="BC389" s="10"/>
      <c r="BD389" s="10"/>
      <c r="BE389" s="10"/>
      <c r="BF389" s="10"/>
      <c r="BG389" s="10"/>
      <c r="BH389" s="10"/>
      <c r="BI389" s="10"/>
      <c r="BJ389" s="10"/>
      <c r="BK389" s="10"/>
      <c r="BL389" s="10"/>
      <c r="BM389" s="10"/>
      <c r="BN389" s="10"/>
      <c r="BO389" s="10"/>
      <c r="BP389" s="10"/>
      <c r="BQ389" s="10"/>
      <c r="BR389" s="10"/>
      <c r="BS389" s="10"/>
      <c r="BT389" s="10"/>
      <c r="BU389" s="10"/>
      <c r="BV389" s="10"/>
      <c r="BW389" s="10"/>
      <c r="BX389" s="10"/>
      <c r="BY389" s="10"/>
      <c r="BZ389" s="10"/>
      <c r="CA389" s="10"/>
      <c r="CB389" s="10"/>
      <c r="CC389" s="10"/>
      <c r="CD389" s="10"/>
      <c r="CE389" s="10"/>
      <c r="CF389" s="10"/>
      <c r="CG389" s="10"/>
      <c r="CH389" s="10"/>
      <c r="CI389" s="10"/>
      <c r="CJ389" s="10"/>
      <c r="CK389" s="10"/>
      <c r="CL389" s="10"/>
      <c r="CM389" s="10"/>
      <c r="CN389" s="10"/>
      <c r="CO389" s="10"/>
      <c r="CP389" s="10"/>
      <c r="CQ389" s="10"/>
      <c r="CR389" s="10"/>
      <c r="CS389" s="10"/>
      <c r="CT389" s="10"/>
      <c r="CU389" s="10"/>
      <c r="CV389" s="10"/>
      <c r="CW389" s="10"/>
      <c r="CX389" s="10"/>
      <c r="CY389" s="10"/>
      <c r="CZ389" s="10"/>
      <c r="DA389" s="10"/>
      <c r="DB389" s="10"/>
      <c r="DC389" s="10"/>
      <c r="DD389" s="10"/>
      <c r="DE389" s="10"/>
      <c r="DF389" s="10"/>
      <c r="DG389" s="10"/>
      <c r="DH389" s="10"/>
    </row>
    <row r="390" spans="1:112" ht="15.75" customHeight="1" x14ac:dyDescent="0.3">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0"/>
      <c r="BC390" s="10"/>
      <c r="BD390" s="10"/>
      <c r="BE390" s="10"/>
      <c r="BF390" s="10"/>
      <c r="BG390" s="10"/>
      <c r="BH390" s="10"/>
      <c r="BI390" s="10"/>
      <c r="BJ390" s="10"/>
      <c r="BK390" s="10"/>
      <c r="BL390" s="10"/>
      <c r="BM390" s="10"/>
      <c r="BN390" s="10"/>
      <c r="BO390" s="10"/>
      <c r="BP390" s="10"/>
      <c r="BQ390" s="10"/>
      <c r="BR390" s="10"/>
      <c r="BS390" s="10"/>
      <c r="BT390" s="10"/>
      <c r="BU390" s="10"/>
      <c r="BV390" s="10"/>
      <c r="BW390" s="10"/>
      <c r="BX390" s="10"/>
      <c r="BY390" s="10"/>
      <c r="BZ390" s="10"/>
      <c r="CA390" s="10"/>
      <c r="CB390" s="10"/>
      <c r="CC390" s="10"/>
      <c r="CD390" s="10"/>
      <c r="CE390" s="10"/>
      <c r="CF390" s="10"/>
      <c r="CG390" s="10"/>
      <c r="CH390" s="10"/>
      <c r="CI390" s="10"/>
      <c r="CJ390" s="10"/>
      <c r="CK390" s="10"/>
      <c r="CL390" s="10"/>
      <c r="CM390" s="10"/>
      <c r="CN390" s="10"/>
      <c r="CO390" s="10"/>
      <c r="CP390" s="10"/>
      <c r="CQ390" s="10"/>
      <c r="CR390" s="10"/>
      <c r="CS390" s="10"/>
      <c r="CT390" s="10"/>
      <c r="CU390" s="10"/>
      <c r="CV390" s="10"/>
      <c r="CW390" s="10"/>
      <c r="CX390" s="10"/>
      <c r="CY390" s="10"/>
      <c r="CZ390" s="10"/>
      <c r="DA390" s="10"/>
      <c r="DB390" s="10"/>
      <c r="DC390" s="10"/>
      <c r="DD390" s="10"/>
      <c r="DE390" s="10"/>
      <c r="DF390" s="10"/>
      <c r="DG390" s="10"/>
      <c r="DH390" s="10"/>
    </row>
    <row r="391" spans="1:112" ht="15.75" customHeight="1" x14ac:dyDescent="0.3">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0"/>
      <c r="BC391" s="10"/>
      <c r="BD391" s="10"/>
      <c r="BE391" s="10"/>
      <c r="BF391" s="10"/>
      <c r="BG391" s="10"/>
      <c r="BH391" s="10"/>
      <c r="BI391" s="10"/>
      <c r="BJ391" s="10"/>
      <c r="BK391" s="10"/>
      <c r="BL391" s="10"/>
      <c r="BM391" s="10"/>
      <c r="BN391" s="10"/>
      <c r="BO391" s="10"/>
      <c r="BP391" s="10"/>
      <c r="BQ391" s="10"/>
      <c r="BR391" s="10"/>
      <c r="BS391" s="10"/>
      <c r="BT391" s="10"/>
      <c r="BU391" s="10"/>
      <c r="BV391" s="10"/>
      <c r="BW391" s="10"/>
      <c r="BX391" s="10"/>
      <c r="BY391" s="10"/>
      <c r="BZ391" s="10"/>
      <c r="CA391" s="10"/>
      <c r="CB391" s="10"/>
      <c r="CC391" s="10"/>
      <c r="CD391" s="10"/>
      <c r="CE391" s="10"/>
      <c r="CF391" s="10"/>
      <c r="CG391" s="10"/>
      <c r="CH391" s="10"/>
      <c r="CI391" s="10"/>
      <c r="CJ391" s="10"/>
      <c r="CK391" s="10"/>
      <c r="CL391" s="10"/>
      <c r="CM391" s="10"/>
      <c r="CN391" s="10"/>
      <c r="CO391" s="10"/>
      <c r="CP391" s="10"/>
      <c r="CQ391" s="10"/>
      <c r="CR391" s="10"/>
      <c r="CS391" s="10"/>
      <c r="CT391" s="10"/>
      <c r="CU391" s="10"/>
      <c r="CV391" s="10"/>
      <c r="CW391" s="10"/>
      <c r="CX391" s="10"/>
      <c r="CY391" s="10"/>
      <c r="CZ391" s="10"/>
      <c r="DA391" s="10"/>
      <c r="DB391" s="10"/>
      <c r="DC391" s="10"/>
      <c r="DD391" s="10"/>
      <c r="DE391" s="10"/>
      <c r="DF391" s="10"/>
      <c r="DG391" s="10"/>
      <c r="DH391" s="10"/>
    </row>
    <row r="392" spans="1:112" ht="15.75" customHeight="1" x14ac:dyDescent="0.3">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0"/>
      <c r="BC392" s="10"/>
      <c r="BD392" s="10"/>
      <c r="BE392" s="10"/>
      <c r="BF392" s="10"/>
      <c r="BG392" s="10"/>
      <c r="BH392" s="10"/>
      <c r="BI392" s="10"/>
      <c r="BJ392" s="10"/>
      <c r="BK392" s="10"/>
      <c r="BL392" s="10"/>
      <c r="BM392" s="10"/>
      <c r="BN392" s="10"/>
      <c r="BO392" s="10"/>
      <c r="BP392" s="10"/>
      <c r="BQ392" s="10"/>
      <c r="BR392" s="10"/>
      <c r="BS392" s="10"/>
      <c r="BT392" s="10"/>
      <c r="BU392" s="10"/>
      <c r="BV392" s="10"/>
      <c r="BW392" s="10"/>
      <c r="BX392" s="10"/>
      <c r="BY392" s="10"/>
      <c r="BZ392" s="10"/>
      <c r="CA392" s="10"/>
      <c r="CB392" s="10"/>
      <c r="CC392" s="10"/>
      <c r="CD392" s="10"/>
      <c r="CE392" s="10"/>
      <c r="CF392" s="10"/>
      <c r="CG392" s="10"/>
      <c r="CH392" s="10"/>
      <c r="CI392" s="10"/>
      <c r="CJ392" s="10"/>
      <c r="CK392" s="10"/>
      <c r="CL392" s="10"/>
      <c r="CM392" s="10"/>
      <c r="CN392" s="10"/>
      <c r="CO392" s="10"/>
      <c r="CP392" s="10"/>
      <c r="CQ392" s="10"/>
      <c r="CR392" s="10"/>
      <c r="CS392" s="10"/>
      <c r="CT392" s="10"/>
      <c r="CU392" s="10"/>
      <c r="CV392" s="10"/>
      <c r="CW392" s="10"/>
      <c r="CX392" s="10"/>
      <c r="CY392" s="10"/>
      <c r="CZ392" s="10"/>
      <c r="DA392" s="10"/>
      <c r="DB392" s="10"/>
      <c r="DC392" s="10"/>
      <c r="DD392" s="10"/>
      <c r="DE392" s="10"/>
      <c r="DF392" s="10"/>
      <c r="DG392" s="10"/>
      <c r="DH392" s="10"/>
    </row>
    <row r="393" spans="1:112" ht="15.75" customHeight="1" x14ac:dyDescent="0.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0"/>
      <c r="BC393" s="10"/>
      <c r="BD393" s="10"/>
      <c r="BE393" s="10"/>
      <c r="BF393" s="10"/>
      <c r="BG393" s="10"/>
      <c r="BH393" s="10"/>
      <c r="BI393" s="10"/>
      <c r="BJ393" s="10"/>
      <c r="BK393" s="10"/>
      <c r="BL393" s="10"/>
      <c r="BM393" s="10"/>
      <c r="BN393" s="10"/>
      <c r="BO393" s="10"/>
      <c r="BP393" s="10"/>
      <c r="BQ393" s="10"/>
      <c r="BR393" s="10"/>
      <c r="BS393" s="10"/>
      <c r="BT393" s="10"/>
      <c r="BU393" s="10"/>
      <c r="BV393" s="10"/>
      <c r="BW393" s="10"/>
      <c r="BX393" s="10"/>
      <c r="BY393" s="10"/>
      <c r="BZ393" s="10"/>
      <c r="CA393" s="10"/>
      <c r="CB393" s="10"/>
      <c r="CC393" s="10"/>
      <c r="CD393" s="10"/>
      <c r="CE393" s="10"/>
      <c r="CF393" s="10"/>
      <c r="CG393" s="10"/>
      <c r="CH393" s="10"/>
      <c r="CI393" s="10"/>
      <c r="CJ393" s="10"/>
      <c r="CK393" s="10"/>
      <c r="CL393" s="10"/>
      <c r="CM393" s="10"/>
      <c r="CN393" s="10"/>
      <c r="CO393" s="10"/>
      <c r="CP393" s="10"/>
      <c r="CQ393" s="10"/>
      <c r="CR393" s="10"/>
      <c r="CS393" s="10"/>
      <c r="CT393" s="10"/>
      <c r="CU393" s="10"/>
      <c r="CV393" s="10"/>
      <c r="CW393" s="10"/>
      <c r="CX393" s="10"/>
      <c r="CY393" s="10"/>
      <c r="CZ393" s="10"/>
      <c r="DA393" s="10"/>
      <c r="DB393" s="10"/>
      <c r="DC393" s="10"/>
      <c r="DD393" s="10"/>
      <c r="DE393" s="10"/>
      <c r="DF393" s="10"/>
      <c r="DG393" s="10"/>
      <c r="DH393" s="10"/>
    </row>
    <row r="394" spans="1:112" ht="15.75" customHeight="1" x14ac:dyDescent="0.3">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0"/>
      <c r="BC394" s="10"/>
      <c r="BD394" s="10"/>
      <c r="BE394" s="10"/>
      <c r="BF394" s="10"/>
      <c r="BG394" s="10"/>
      <c r="BH394" s="10"/>
      <c r="BI394" s="10"/>
      <c r="BJ394" s="10"/>
      <c r="BK394" s="10"/>
      <c r="BL394" s="10"/>
      <c r="BM394" s="10"/>
      <c r="BN394" s="10"/>
      <c r="BO394" s="10"/>
      <c r="BP394" s="10"/>
      <c r="BQ394" s="10"/>
      <c r="BR394" s="10"/>
      <c r="BS394" s="10"/>
      <c r="BT394" s="10"/>
      <c r="BU394" s="10"/>
      <c r="BV394" s="10"/>
      <c r="BW394" s="10"/>
      <c r="BX394" s="10"/>
      <c r="BY394" s="10"/>
      <c r="BZ394" s="10"/>
      <c r="CA394" s="10"/>
      <c r="CB394" s="10"/>
      <c r="CC394" s="10"/>
      <c r="CD394" s="10"/>
      <c r="CE394" s="10"/>
      <c r="CF394" s="10"/>
      <c r="CG394" s="10"/>
      <c r="CH394" s="10"/>
      <c r="CI394" s="10"/>
      <c r="CJ394" s="10"/>
      <c r="CK394" s="10"/>
      <c r="CL394" s="10"/>
      <c r="CM394" s="10"/>
      <c r="CN394" s="10"/>
      <c r="CO394" s="10"/>
      <c r="CP394" s="10"/>
      <c r="CQ394" s="10"/>
      <c r="CR394" s="10"/>
      <c r="CS394" s="10"/>
      <c r="CT394" s="10"/>
      <c r="CU394" s="10"/>
      <c r="CV394" s="10"/>
      <c r="CW394" s="10"/>
      <c r="CX394" s="10"/>
      <c r="CY394" s="10"/>
      <c r="CZ394" s="10"/>
      <c r="DA394" s="10"/>
      <c r="DB394" s="10"/>
      <c r="DC394" s="10"/>
      <c r="DD394" s="10"/>
      <c r="DE394" s="10"/>
      <c r="DF394" s="10"/>
      <c r="DG394" s="10"/>
      <c r="DH394" s="10"/>
    </row>
    <row r="395" spans="1:112" ht="15.75" customHeight="1" x14ac:dyDescent="0.3">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0"/>
      <c r="BC395" s="10"/>
      <c r="BD395" s="10"/>
      <c r="BE395" s="10"/>
      <c r="BF395" s="10"/>
      <c r="BG395" s="10"/>
      <c r="BH395" s="10"/>
      <c r="BI395" s="10"/>
      <c r="BJ395" s="10"/>
      <c r="BK395" s="10"/>
      <c r="BL395" s="10"/>
      <c r="BM395" s="10"/>
      <c r="BN395" s="10"/>
      <c r="BO395" s="10"/>
      <c r="BP395" s="10"/>
      <c r="BQ395" s="10"/>
      <c r="BR395" s="10"/>
      <c r="BS395" s="10"/>
      <c r="BT395" s="10"/>
      <c r="BU395" s="10"/>
      <c r="BV395" s="10"/>
      <c r="BW395" s="10"/>
      <c r="BX395" s="10"/>
      <c r="BY395" s="10"/>
      <c r="BZ395" s="10"/>
      <c r="CA395" s="10"/>
      <c r="CB395" s="10"/>
      <c r="CC395" s="10"/>
      <c r="CD395" s="10"/>
      <c r="CE395" s="10"/>
      <c r="CF395" s="10"/>
      <c r="CG395" s="10"/>
      <c r="CH395" s="10"/>
      <c r="CI395" s="10"/>
      <c r="CJ395" s="10"/>
      <c r="CK395" s="10"/>
      <c r="CL395" s="10"/>
      <c r="CM395" s="10"/>
      <c r="CN395" s="10"/>
      <c r="CO395" s="10"/>
      <c r="CP395" s="10"/>
      <c r="CQ395" s="10"/>
      <c r="CR395" s="10"/>
      <c r="CS395" s="10"/>
      <c r="CT395" s="10"/>
      <c r="CU395" s="10"/>
      <c r="CV395" s="10"/>
      <c r="CW395" s="10"/>
      <c r="CX395" s="10"/>
      <c r="CY395" s="10"/>
      <c r="CZ395" s="10"/>
      <c r="DA395" s="10"/>
      <c r="DB395" s="10"/>
      <c r="DC395" s="10"/>
      <c r="DD395" s="10"/>
      <c r="DE395" s="10"/>
      <c r="DF395" s="10"/>
      <c r="DG395" s="10"/>
      <c r="DH395" s="10"/>
    </row>
    <row r="396" spans="1:112" ht="15.75" customHeight="1" x14ac:dyDescent="0.3">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0"/>
      <c r="BC396" s="10"/>
      <c r="BD396" s="10"/>
      <c r="BE396" s="10"/>
      <c r="BF396" s="10"/>
      <c r="BG396" s="10"/>
      <c r="BH396" s="10"/>
      <c r="BI396" s="10"/>
      <c r="BJ396" s="10"/>
      <c r="BK396" s="10"/>
      <c r="BL396" s="10"/>
      <c r="BM396" s="10"/>
      <c r="BN396" s="10"/>
      <c r="BO396" s="10"/>
      <c r="BP396" s="10"/>
      <c r="BQ396" s="10"/>
      <c r="BR396" s="10"/>
      <c r="BS396" s="10"/>
      <c r="BT396" s="10"/>
      <c r="BU396" s="10"/>
      <c r="BV396" s="10"/>
      <c r="BW396" s="10"/>
      <c r="BX396" s="10"/>
      <c r="BY396" s="10"/>
      <c r="BZ396" s="10"/>
      <c r="CA396" s="10"/>
      <c r="CB396" s="10"/>
      <c r="CC396" s="10"/>
      <c r="CD396" s="10"/>
      <c r="CE396" s="10"/>
      <c r="CF396" s="10"/>
      <c r="CG396" s="10"/>
      <c r="CH396" s="10"/>
      <c r="CI396" s="10"/>
      <c r="CJ396" s="10"/>
      <c r="CK396" s="10"/>
      <c r="CL396" s="10"/>
      <c r="CM396" s="10"/>
      <c r="CN396" s="10"/>
      <c r="CO396" s="10"/>
      <c r="CP396" s="10"/>
      <c r="CQ396" s="10"/>
      <c r="CR396" s="10"/>
      <c r="CS396" s="10"/>
      <c r="CT396" s="10"/>
      <c r="CU396" s="10"/>
      <c r="CV396" s="10"/>
      <c r="CW396" s="10"/>
      <c r="CX396" s="10"/>
      <c r="CY396" s="10"/>
      <c r="CZ396" s="10"/>
      <c r="DA396" s="10"/>
      <c r="DB396" s="10"/>
      <c r="DC396" s="10"/>
      <c r="DD396" s="10"/>
      <c r="DE396" s="10"/>
      <c r="DF396" s="10"/>
      <c r="DG396" s="10"/>
      <c r="DH396" s="10"/>
    </row>
    <row r="397" spans="1:112" ht="15.75" customHeight="1" x14ac:dyDescent="0.3">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0"/>
      <c r="BC397" s="10"/>
      <c r="BD397" s="10"/>
      <c r="BE397" s="10"/>
      <c r="BF397" s="10"/>
      <c r="BG397" s="10"/>
      <c r="BH397" s="10"/>
      <c r="BI397" s="10"/>
      <c r="BJ397" s="10"/>
      <c r="BK397" s="10"/>
      <c r="BL397" s="10"/>
      <c r="BM397" s="10"/>
      <c r="BN397" s="10"/>
      <c r="BO397" s="10"/>
      <c r="BP397" s="10"/>
      <c r="BQ397" s="10"/>
      <c r="BR397" s="10"/>
      <c r="BS397" s="10"/>
      <c r="BT397" s="10"/>
      <c r="BU397" s="10"/>
      <c r="BV397" s="10"/>
      <c r="BW397" s="10"/>
      <c r="BX397" s="10"/>
      <c r="BY397" s="10"/>
      <c r="BZ397" s="10"/>
      <c r="CA397" s="10"/>
      <c r="CB397" s="10"/>
      <c r="CC397" s="10"/>
      <c r="CD397" s="10"/>
      <c r="CE397" s="10"/>
      <c r="CF397" s="10"/>
      <c r="CG397" s="10"/>
      <c r="CH397" s="10"/>
      <c r="CI397" s="10"/>
      <c r="CJ397" s="10"/>
      <c r="CK397" s="10"/>
      <c r="CL397" s="10"/>
      <c r="CM397" s="10"/>
      <c r="CN397" s="10"/>
      <c r="CO397" s="10"/>
      <c r="CP397" s="10"/>
      <c r="CQ397" s="10"/>
      <c r="CR397" s="10"/>
      <c r="CS397" s="10"/>
      <c r="CT397" s="10"/>
      <c r="CU397" s="10"/>
      <c r="CV397" s="10"/>
      <c r="CW397" s="10"/>
      <c r="CX397" s="10"/>
      <c r="CY397" s="10"/>
      <c r="CZ397" s="10"/>
      <c r="DA397" s="10"/>
      <c r="DB397" s="10"/>
      <c r="DC397" s="10"/>
      <c r="DD397" s="10"/>
      <c r="DE397" s="10"/>
      <c r="DF397" s="10"/>
      <c r="DG397" s="10"/>
      <c r="DH397" s="10"/>
    </row>
    <row r="398" spans="1:112" ht="15.75" customHeight="1" x14ac:dyDescent="0.3">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0"/>
      <c r="BC398" s="10"/>
      <c r="BD398" s="10"/>
      <c r="BE398" s="10"/>
      <c r="BF398" s="10"/>
      <c r="BG398" s="10"/>
      <c r="BH398" s="10"/>
      <c r="BI398" s="10"/>
      <c r="BJ398" s="10"/>
      <c r="BK398" s="10"/>
      <c r="BL398" s="10"/>
      <c r="BM398" s="10"/>
      <c r="BN398" s="10"/>
      <c r="BO398" s="10"/>
      <c r="BP398" s="10"/>
      <c r="BQ398" s="10"/>
      <c r="BR398" s="10"/>
      <c r="BS398" s="10"/>
      <c r="BT398" s="10"/>
      <c r="BU398" s="10"/>
      <c r="BV398" s="10"/>
      <c r="BW398" s="10"/>
      <c r="BX398" s="10"/>
      <c r="BY398" s="10"/>
      <c r="BZ398" s="10"/>
      <c r="CA398" s="10"/>
      <c r="CB398" s="10"/>
      <c r="CC398" s="10"/>
      <c r="CD398" s="10"/>
      <c r="CE398" s="10"/>
      <c r="CF398" s="10"/>
      <c r="CG398" s="10"/>
      <c r="CH398" s="10"/>
      <c r="CI398" s="10"/>
      <c r="CJ398" s="10"/>
      <c r="CK398" s="10"/>
      <c r="CL398" s="10"/>
      <c r="CM398" s="10"/>
      <c r="CN398" s="10"/>
      <c r="CO398" s="10"/>
      <c r="CP398" s="10"/>
      <c r="CQ398" s="10"/>
      <c r="CR398" s="10"/>
      <c r="CS398" s="10"/>
      <c r="CT398" s="10"/>
      <c r="CU398" s="10"/>
      <c r="CV398" s="10"/>
      <c r="CW398" s="10"/>
      <c r="CX398" s="10"/>
      <c r="CY398" s="10"/>
      <c r="CZ398" s="10"/>
      <c r="DA398" s="10"/>
      <c r="DB398" s="10"/>
      <c r="DC398" s="10"/>
      <c r="DD398" s="10"/>
      <c r="DE398" s="10"/>
      <c r="DF398" s="10"/>
      <c r="DG398" s="10"/>
      <c r="DH398" s="10"/>
    </row>
    <row r="399" spans="1:112" ht="15.75" customHeight="1" x14ac:dyDescent="0.3">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0"/>
      <c r="BC399" s="10"/>
      <c r="BD399" s="10"/>
      <c r="BE399" s="10"/>
      <c r="BF399" s="10"/>
      <c r="BG399" s="10"/>
      <c r="BH399" s="10"/>
      <c r="BI399" s="10"/>
      <c r="BJ399" s="10"/>
      <c r="BK399" s="10"/>
      <c r="BL399" s="10"/>
      <c r="BM399" s="10"/>
      <c r="BN399" s="10"/>
      <c r="BO399" s="10"/>
      <c r="BP399" s="10"/>
      <c r="BQ399" s="10"/>
      <c r="BR399" s="10"/>
      <c r="BS399" s="10"/>
      <c r="BT399" s="10"/>
      <c r="BU399" s="10"/>
      <c r="BV399" s="10"/>
      <c r="BW399" s="10"/>
      <c r="BX399" s="10"/>
      <c r="BY399" s="10"/>
      <c r="BZ399" s="10"/>
      <c r="CA399" s="10"/>
      <c r="CB399" s="10"/>
      <c r="CC399" s="10"/>
      <c r="CD399" s="10"/>
      <c r="CE399" s="10"/>
      <c r="CF399" s="10"/>
      <c r="CG399" s="10"/>
      <c r="CH399" s="10"/>
      <c r="CI399" s="10"/>
      <c r="CJ399" s="10"/>
      <c r="CK399" s="10"/>
      <c r="CL399" s="10"/>
      <c r="CM399" s="10"/>
      <c r="CN399" s="10"/>
      <c r="CO399" s="10"/>
      <c r="CP399" s="10"/>
      <c r="CQ399" s="10"/>
      <c r="CR399" s="10"/>
      <c r="CS399" s="10"/>
      <c r="CT399" s="10"/>
      <c r="CU399" s="10"/>
      <c r="CV399" s="10"/>
      <c r="CW399" s="10"/>
      <c r="CX399" s="10"/>
      <c r="CY399" s="10"/>
      <c r="CZ399" s="10"/>
      <c r="DA399" s="10"/>
      <c r="DB399" s="10"/>
      <c r="DC399" s="10"/>
      <c r="DD399" s="10"/>
      <c r="DE399" s="10"/>
      <c r="DF399" s="10"/>
      <c r="DG399" s="10"/>
      <c r="DH399" s="10"/>
    </row>
    <row r="400" spans="1:112" ht="15.75" customHeight="1" x14ac:dyDescent="0.3">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0"/>
      <c r="BC400" s="10"/>
      <c r="BD400" s="10"/>
      <c r="BE400" s="10"/>
      <c r="BF400" s="10"/>
      <c r="BG400" s="10"/>
      <c r="BH400" s="10"/>
      <c r="BI400" s="10"/>
      <c r="BJ400" s="10"/>
      <c r="BK400" s="10"/>
      <c r="BL400" s="10"/>
      <c r="BM400" s="10"/>
      <c r="BN400" s="10"/>
      <c r="BO400" s="10"/>
      <c r="BP400" s="10"/>
      <c r="BQ400" s="10"/>
      <c r="BR400" s="10"/>
      <c r="BS400" s="10"/>
      <c r="BT400" s="10"/>
      <c r="BU400" s="10"/>
      <c r="BV400" s="10"/>
      <c r="BW400" s="10"/>
      <c r="BX400" s="10"/>
      <c r="BY400" s="10"/>
      <c r="BZ400" s="10"/>
      <c r="CA400" s="10"/>
      <c r="CB400" s="10"/>
      <c r="CC400" s="10"/>
      <c r="CD400" s="10"/>
      <c r="CE400" s="10"/>
      <c r="CF400" s="10"/>
      <c r="CG400" s="10"/>
      <c r="CH400" s="10"/>
      <c r="CI400" s="10"/>
      <c r="CJ400" s="10"/>
      <c r="CK400" s="10"/>
      <c r="CL400" s="10"/>
      <c r="CM400" s="10"/>
      <c r="CN400" s="10"/>
      <c r="CO400" s="10"/>
      <c r="CP400" s="10"/>
      <c r="CQ400" s="10"/>
      <c r="CR400" s="10"/>
      <c r="CS400" s="10"/>
      <c r="CT400" s="10"/>
      <c r="CU400" s="10"/>
      <c r="CV400" s="10"/>
      <c r="CW400" s="10"/>
      <c r="CX400" s="10"/>
      <c r="CY400" s="10"/>
      <c r="CZ400" s="10"/>
      <c r="DA400" s="10"/>
      <c r="DB400" s="10"/>
      <c r="DC400" s="10"/>
      <c r="DD400" s="10"/>
      <c r="DE400" s="10"/>
      <c r="DF400" s="10"/>
      <c r="DG400" s="10"/>
      <c r="DH400" s="10"/>
    </row>
    <row r="401" spans="1:112" ht="15.75" customHeight="1" x14ac:dyDescent="0.3">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0"/>
      <c r="BC401" s="10"/>
      <c r="BD401" s="10"/>
      <c r="BE401" s="10"/>
      <c r="BF401" s="10"/>
      <c r="BG401" s="10"/>
      <c r="BH401" s="10"/>
      <c r="BI401" s="10"/>
      <c r="BJ401" s="10"/>
      <c r="BK401" s="10"/>
      <c r="BL401" s="10"/>
      <c r="BM401" s="10"/>
      <c r="BN401" s="10"/>
      <c r="BO401" s="10"/>
      <c r="BP401" s="10"/>
      <c r="BQ401" s="10"/>
      <c r="BR401" s="10"/>
      <c r="BS401" s="10"/>
      <c r="BT401" s="10"/>
      <c r="BU401" s="10"/>
      <c r="BV401" s="10"/>
      <c r="BW401" s="10"/>
      <c r="BX401" s="10"/>
      <c r="BY401" s="10"/>
      <c r="BZ401" s="10"/>
      <c r="CA401" s="10"/>
      <c r="CB401" s="10"/>
      <c r="CC401" s="10"/>
      <c r="CD401" s="10"/>
      <c r="CE401" s="10"/>
      <c r="CF401" s="10"/>
      <c r="CG401" s="10"/>
      <c r="CH401" s="10"/>
      <c r="CI401" s="10"/>
      <c r="CJ401" s="10"/>
      <c r="CK401" s="10"/>
      <c r="CL401" s="10"/>
      <c r="CM401" s="10"/>
      <c r="CN401" s="10"/>
      <c r="CO401" s="10"/>
      <c r="CP401" s="10"/>
      <c r="CQ401" s="10"/>
      <c r="CR401" s="10"/>
      <c r="CS401" s="10"/>
      <c r="CT401" s="10"/>
      <c r="CU401" s="10"/>
      <c r="CV401" s="10"/>
      <c r="CW401" s="10"/>
      <c r="CX401" s="10"/>
      <c r="CY401" s="10"/>
      <c r="CZ401" s="10"/>
      <c r="DA401" s="10"/>
      <c r="DB401" s="10"/>
      <c r="DC401" s="10"/>
      <c r="DD401" s="10"/>
      <c r="DE401" s="10"/>
      <c r="DF401" s="10"/>
      <c r="DG401" s="10"/>
      <c r="DH401" s="10"/>
    </row>
    <row r="402" spans="1:112" ht="15.75" customHeight="1" x14ac:dyDescent="0.3">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0"/>
      <c r="BC402" s="10"/>
      <c r="BD402" s="10"/>
      <c r="BE402" s="10"/>
      <c r="BF402" s="10"/>
      <c r="BG402" s="10"/>
      <c r="BH402" s="10"/>
      <c r="BI402" s="10"/>
      <c r="BJ402" s="10"/>
      <c r="BK402" s="10"/>
      <c r="BL402" s="10"/>
      <c r="BM402" s="10"/>
      <c r="BN402" s="10"/>
      <c r="BO402" s="10"/>
      <c r="BP402" s="10"/>
      <c r="BQ402" s="10"/>
      <c r="BR402" s="10"/>
      <c r="BS402" s="10"/>
      <c r="BT402" s="10"/>
      <c r="BU402" s="10"/>
      <c r="BV402" s="10"/>
      <c r="BW402" s="10"/>
      <c r="BX402" s="10"/>
      <c r="BY402" s="10"/>
      <c r="BZ402" s="10"/>
      <c r="CA402" s="10"/>
      <c r="CB402" s="10"/>
      <c r="CC402" s="10"/>
      <c r="CD402" s="10"/>
      <c r="CE402" s="10"/>
      <c r="CF402" s="10"/>
      <c r="CG402" s="10"/>
      <c r="CH402" s="10"/>
      <c r="CI402" s="10"/>
      <c r="CJ402" s="10"/>
      <c r="CK402" s="10"/>
      <c r="CL402" s="10"/>
      <c r="CM402" s="10"/>
      <c r="CN402" s="10"/>
      <c r="CO402" s="10"/>
      <c r="CP402" s="10"/>
      <c r="CQ402" s="10"/>
      <c r="CR402" s="10"/>
      <c r="CS402" s="10"/>
      <c r="CT402" s="10"/>
      <c r="CU402" s="10"/>
      <c r="CV402" s="10"/>
      <c r="CW402" s="10"/>
      <c r="CX402" s="10"/>
      <c r="CY402" s="10"/>
      <c r="CZ402" s="10"/>
      <c r="DA402" s="10"/>
      <c r="DB402" s="10"/>
      <c r="DC402" s="10"/>
      <c r="DD402" s="10"/>
      <c r="DE402" s="10"/>
      <c r="DF402" s="10"/>
      <c r="DG402" s="10"/>
      <c r="DH402" s="10"/>
    </row>
    <row r="403" spans="1:112" ht="15.75" customHeight="1" x14ac:dyDescent="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0"/>
      <c r="BC403" s="10"/>
      <c r="BD403" s="10"/>
      <c r="BE403" s="10"/>
      <c r="BF403" s="10"/>
      <c r="BG403" s="10"/>
      <c r="BH403" s="10"/>
      <c r="BI403" s="10"/>
      <c r="BJ403" s="10"/>
      <c r="BK403" s="10"/>
      <c r="BL403" s="10"/>
      <c r="BM403" s="10"/>
      <c r="BN403" s="10"/>
      <c r="BO403" s="10"/>
      <c r="BP403" s="10"/>
      <c r="BQ403" s="10"/>
      <c r="BR403" s="10"/>
      <c r="BS403" s="10"/>
      <c r="BT403" s="10"/>
      <c r="BU403" s="10"/>
      <c r="BV403" s="10"/>
      <c r="BW403" s="10"/>
      <c r="BX403" s="10"/>
      <c r="BY403" s="10"/>
      <c r="BZ403" s="10"/>
      <c r="CA403" s="10"/>
      <c r="CB403" s="10"/>
      <c r="CC403" s="10"/>
      <c r="CD403" s="10"/>
      <c r="CE403" s="10"/>
      <c r="CF403" s="10"/>
      <c r="CG403" s="10"/>
      <c r="CH403" s="10"/>
      <c r="CI403" s="10"/>
      <c r="CJ403" s="10"/>
      <c r="CK403" s="10"/>
      <c r="CL403" s="10"/>
      <c r="CM403" s="10"/>
      <c r="CN403" s="10"/>
      <c r="CO403" s="10"/>
      <c r="CP403" s="10"/>
      <c r="CQ403" s="10"/>
      <c r="CR403" s="10"/>
      <c r="CS403" s="10"/>
      <c r="CT403" s="10"/>
      <c r="CU403" s="10"/>
      <c r="CV403" s="10"/>
      <c r="CW403" s="10"/>
      <c r="CX403" s="10"/>
      <c r="CY403" s="10"/>
      <c r="CZ403" s="10"/>
      <c r="DA403" s="10"/>
      <c r="DB403" s="10"/>
      <c r="DC403" s="10"/>
      <c r="DD403" s="10"/>
      <c r="DE403" s="10"/>
      <c r="DF403" s="10"/>
      <c r="DG403" s="10"/>
      <c r="DH403" s="10"/>
    </row>
    <row r="404" spans="1:112" ht="15.75" customHeight="1" x14ac:dyDescent="0.3">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0"/>
      <c r="BC404" s="10"/>
      <c r="BD404" s="10"/>
      <c r="BE404" s="10"/>
      <c r="BF404" s="10"/>
      <c r="BG404" s="10"/>
      <c r="BH404" s="10"/>
      <c r="BI404" s="10"/>
      <c r="BJ404" s="10"/>
      <c r="BK404" s="10"/>
      <c r="BL404" s="10"/>
      <c r="BM404" s="10"/>
      <c r="BN404" s="10"/>
      <c r="BO404" s="10"/>
      <c r="BP404" s="10"/>
      <c r="BQ404" s="10"/>
      <c r="BR404" s="10"/>
      <c r="BS404" s="10"/>
      <c r="BT404" s="10"/>
      <c r="BU404" s="10"/>
      <c r="BV404" s="10"/>
      <c r="BW404" s="10"/>
      <c r="BX404" s="10"/>
      <c r="BY404" s="10"/>
      <c r="BZ404" s="10"/>
      <c r="CA404" s="10"/>
      <c r="CB404" s="10"/>
      <c r="CC404" s="10"/>
      <c r="CD404" s="10"/>
      <c r="CE404" s="10"/>
      <c r="CF404" s="10"/>
      <c r="CG404" s="10"/>
      <c r="CH404" s="10"/>
      <c r="CI404" s="10"/>
      <c r="CJ404" s="10"/>
      <c r="CK404" s="10"/>
      <c r="CL404" s="10"/>
      <c r="CM404" s="10"/>
      <c r="CN404" s="10"/>
      <c r="CO404" s="10"/>
      <c r="CP404" s="10"/>
      <c r="CQ404" s="10"/>
      <c r="CR404" s="10"/>
      <c r="CS404" s="10"/>
      <c r="CT404" s="10"/>
      <c r="CU404" s="10"/>
      <c r="CV404" s="10"/>
      <c r="CW404" s="10"/>
      <c r="CX404" s="10"/>
      <c r="CY404" s="10"/>
      <c r="CZ404" s="10"/>
      <c r="DA404" s="10"/>
      <c r="DB404" s="10"/>
      <c r="DC404" s="10"/>
      <c r="DD404" s="10"/>
      <c r="DE404" s="10"/>
      <c r="DF404" s="10"/>
      <c r="DG404" s="10"/>
      <c r="DH404" s="10"/>
    </row>
    <row r="405" spans="1:112" ht="15.75" customHeight="1" x14ac:dyDescent="0.3">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0"/>
      <c r="BC405" s="10"/>
      <c r="BD405" s="10"/>
      <c r="BE405" s="10"/>
      <c r="BF405" s="10"/>
      <c r="BG405" s="10"/>
      <c r="BH405" s="10"/>
      <c r="BI405" s="10"/>
      <c r="BJ405" s="10"/>
      <c r="BK405" s="10"/>
      <c r="BL405" s="10"/>
      <c r="BM405" s="10"/>
      <c r="BN405" s="10"/>
      <c r="BO405" s="10"/>
      <c r="BP405" s="10"/>
      <c r="BQ405" s="10"/>
      <c r="BR405" s="10"/>
      <c r="BS405" s="10"/>
      <c r="BT405" s="10"/>
      <c r="BU405" s="10"/>
      <c r="BV405" s="10"/>
      <c r="BW405" s="10"/>
      <c r="BX405" s="10"/>
      <c r="BY405" s="10"/>
      <c r="BZ405" s="10"/>
      <c r="CA405" s="10"/>
      <c r="CB405" s="10"/>
      <c r="CC405" s="10"/>
      <c r="CD405" s="10"/>
      <c r="CE405" s="10"/>
      <c r="CF405" s="10"/>
      <c r="CG405" s="10"/>
      <c r="CH405" s="10"/>
      <c r="CI405" s="10"/>
      <c r="CJ405" s="10"/>
      <c r="CK405" s="10"/>
      <c r="CL405" s="10"/>
      <c r="CM405" s="10"/>
      <c r="CN405" s="10"/>
      <c r="CO405" s="10"/>
      <c r="CP405" s="10"/>
      <c r="CQ405" s="10"/>
      <c r="CR405" s="10"/>
      <c r="CS405" s="10"/>
      <c r="CT405" s="10"/>
      <c r="CU405" s="10"/>
      <c r="CV405" s="10"/>
      <c r="CW405" s="10"/>
      <c r="CX405" s="10"/>
      <c r="CY405" s="10"/>
      <c r="CZ405" s="10"/>
      <c r="DA405" s="10"/>
      <c r="DB405" s="10"/>
      <c r="DC405" s="10"/>
      <c r="DD405" s="10"/>
      <c r="DE405" s="10"/>
      <c r="DF405" s="10"/>
      <c r="DG405" s="10"/>
      <c r="DH405" s="10"/>
    </row>
    <row r="406" spans="1:112" ht="15.75" customHeight="1" x14ac:dyDescent="0.3">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0"/>
      <c r="BC406" s="10"/>
      <c r="BD406" s="10"/>
      <c r="BE406" s="10"/>
      <c r="BF406" s="10"/>
      <c r="BG406" s="10"/>
      <c r="BH406" s="10"/>
      <c r="BI406" s="10"/>
      <c r="BJ406" s="10"/>
      <c r="BK406" s="10"/>
      <c r="BL406" s="10"/>
      <c r="BM406" s="10"/>
      <c r="BN406" s="10"/>
      <c r="BO406" s="10"/>
      <c r="BP406" s="10"/>
      <c r="BQ406" s="10"/>
      <c r="BR406" s="10"/>
      <c r="BS406" s="10"/>
      <c r="BT406" s="10"/>
      <c r="BU406" s="10"/>
      <c r="BV406" s="10"/>
      <c r="BW406" s="10"/>
      <c r="BX406" s="10"/>
      <c r="BY406" s="10"/>
      <c r="BZ406" s="10"/>
      <c r="CA406" s="10"/>
      <c r="CB406" s="10"/>
      <c r="CC406" s="10"/>
      <c r="CD406" s="10"/>
      <c r="CE406" s="10"/>
      <c r="CF406" s="10"/>
      <c r="CG406" s="10"/>
      <c r="CH406" s="10"/>
      <c r="CI406" s="10"/>
      <c r="CJ406" s="10"/>
      <c r="CK406" s="10"/>
      <c r="CL406" s="10"/>
      <c r="CM406" s="10"/>
      <c r="CN406" s="10"/>
      <c r="CO406" s="10"/>
      <c r="CP406" s="10"/>
      <c r="CQ406" s="10"/>
      <c r="CR406" s="10"/>
      <c r="CS406" s="10"/>
      <c r="CT406" s="10"/>
      <c r="CU406" s="10"/>
      <c r="CV406" s="10"/>
      <c r="CW406" s="10"/>
      <c r="CX406" s="10"/>
      <c r="CY406" s="10"/>
      <c r="CZ406" s="10"/>
      <c r="DA406" s="10"/>
      <c r="DB406" s="10"/>
      <c r="DC406" s="10"/>
      <c r="DD406" s="10"/>
      <c r="DE406" s="10"/>
      <c r="DF406" s="10"/>
      <c r="DG406" s="10"/>
      <c r="DH406" s="10"/>
    </row>
    <row r="407" spans="1:112" ht="15.75" customHeight="1" x14ac:dyDescent="0.3"/>
    <row r="408" spans="1:112" ht="15.75" customHeight="1" x14ac:dyDescent="0.3"/>
    <row r="409" spans="1:112" ht="15.75" customHeight="1" x14ac:dyDescent="0.3"/>
    <row r="410" spans="1:112" ht="15.75" customHeight="1" x14ac:dyDescent="0.3"/>
    <row r="411" spans="1:112" ht="15.75" customHeight="1" x14ac:dyDescent="0.3"/>
    <row r="412" spans="1:112" ht="15.75" customHeight="1" x14ac:dyDescent="0.3"/>
    <row r="413" spans="1:112" ht="15.75" customHeight="1" x14ac:dyDescent="0.3"/>
    <row r="414" spans="1:112" ht="15.75" customHeight="1" x14ac:dyDescent="0.3"/>
    <row r="415" spans="1:112" ht="15.75" customHeight="1" x14ac:dyDescent="0.3"/>
    <row r="416" spans="1:112"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sheetData>
  <scenarios current="0" sqref="X8">
    <scenario name="best sales" locked="1" count="2" user="disha chaudhari" comment="Created by disha chaudhari on 30-05-2026">
      <inputCells r="V8" val="50"/>
      <inputCells r="W8" val="400"/>
    </scenario>
    <scenario name="Average" locked="1" count="2" user="disha chaudhari" comment="Created by disha chaudhari on 30-05-2026">
      <inputCells r="V8" val="30"/>
      <inputCells r="W8" val="350"/>
    </scenario>
    <scenario name="worst sales" locked="1" count="2" user="disha chaudhari" comment="Created by disha chaudhari on 30-05-2026">
      <inputCells r="V8" val="10"/>
      <inputCells r="W8" val="200"/>
    </scenario>
  </scenarios>
  <mergeCells count="1">
    <mergeCell ref="V1:X1"/>
  </mergeCells>
  <conditionalFormatting sqref="N3:N252">
    <cfRule type="iconSet" priority="3">
      <iconSet iconSet="3Arrows">
        <cfvo type="percent" val="0"/>
        <cfvo type="percent" val="33"/>
        <cfvo type="percent" val="67"/>
      </iconSet>
    </cfRule>
  </conditionalFormatting>
  <conditionalFormatting sqref="P17:P266">
    <cfRule type="iconSet" priority="2">
      <iconSet iconSet="3Arrows">
        <cfvo type="percent" val="0"/>
        <cfvo type="percent" val="33"/>
        <cfvo type="percent" val="67"/>
      </iconSet>
    </cfRule>
  </conditionalFormatting>
  <conditionalFormatting sqref="U4:U253">
    <cfRule type="iconSet" priority="1">
      <iconSet iconSet="3Arrows">
        <cfvo type="percent" val="0"/>
        <cfvo type="percent" val="33"/>
        <cfvo type="percent" val="67"/>
      </iconSet>
    </cfRule>
  </conditionalFormatting>
  <pageMargins left="0.75" right="0.75" top="1" bottom="1"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DC75A-2825-482B-BE51-2559667CB5F8}">
  <dimension ref="A1:I18"/>
  <sheetViews>
    <sheetView workbookViewId="0">
      <selection sqref="A1:B1"/>
    </sheetView>
  </sheetViews>
  <sheetFormatPr defaultRowHeight="14.4" x14ac:dyDescent="0.3"/>
  <cols>
    <col min="2" max="2" width="12.6640625" customWidth="1"/>
    <col min="3" max="3" width="15.33203125" customWidth="1"/>
    <col min="4" max="4" width="16.33203125" customWidth="1"/>
    <col min="6" max="6" width="14.88671875" customWidth="1"/>
    <col min="7" max="7" width="16.6640625" customWidth="1"/>
    <col min="8" max="8" width="15.6640625" customWidth="1"/>
    <col min="9" max="9" width="18.21875" customWidth="1"/>
  </cols>
  <sheetData>
    <row r="1" spans="1:9" x14ac:dyDescent="0.3">
      <c r="A1" s="35" t="s">
        <v>403</v>
      </c>
      <c r="B1" s="35"/>
    </row>
    <row r="2" spans="1:9" ht="15" thickBot="1" x14ac:dyDescent="0.35"/>
    <row r="3" spans="1:9" x14ac:dyDescent="0.3">
      <c r="A3" s="7" t="s">
        <v>404</v>
      </c>
      <c r="B3" s="7"/>
    </row>
    <row r="4" spans="1:9" x14ac:dyDescent="0.3">
      <c r="A4" t="s">
        <v>405</v>
      </c>
      <c r="B4">
        <v>0.45809869406349091</v>
      </c>
    </row>
    <row r="5" spans="1:9" x14ac:dyDescent="0.3">
      <c r="A5" t="s">
        <v>406</v>
      </c>
      <c r="B5">
        <v>0.20985441350267586</v>
      </c>
    </row>
    <row r="6" spans="1:9" x14ac:dyDescent="0.3">
      <c r="A6" t="s">
        <v>407</v>
      </c>
      <c r="B6">
        <v>0.20665544351685675</v>
      </c>
    </row>
    <row r="7" spans="1:9" x14ac:dyDescent="0.3">
      <c r="A7" t="s">
        <v>408</v>
      </c>
      <c r="B7">
        <v>921.40854264214693</v>
      </c>
    </row>
    <row r="8" spans="1:9" ht="15" thickBot="1" x14ac:dyDescent="0.35">
      <c r="A8" s="5" t="s">
        <v>409</v>
      </c>
      <c r="B8" s="5">
        <v>249</v>
      </c>
    </row>
    <row r="10" spans="1:9" ht="15" thickBot="1" x14ac:dyDescent="0.35">
      <c r="A10" t="s">
        <v>410</v>
      </c>
    </row>
    <row r="11" spans="1:9" x14ac:dyDescent="0.3">
      <c r="A11" s="6"/>
      <c r="B11" s="6" t="s">
        <v>415</v>
      </c>
      <c r="C11" s="6" t="s">
        <v>416</v>
      </c>
      <c r="D11" s="6" t="s">
        <v>417</v>
      </c>
      <c r="E11" s="6" t="s">
        <v>418</v>
      </c>
      <c r="F11" s="6" t="s">
        <v>419</v>
      </c>
    </row>
    <row r="12" spans="1:9" x14ac:dyDescent="0.3">
      <c r="A12" t="s">
        <v>411</v>
      </c>
      <c r="B12">
        <v>1</v>
      </c>
      <c r="C12">
        <v>55694513.010666132</v>
      </c>
      <c r="D12">
        <v>55694513.010666132</v>
      </c>
      <c r="E12">
        <v>65.600619709765951</v>
      </c>
      <c r="F12">
        <v>2.5391277291094679E-14</v>
      </c>
    </row>
    <row r="13" spans="1:9" x14ac:dyDescent="0.3">
      <c r="A13" t="s">
        <v>412</v>
      </c>
      <c r="B13">
        <v>247</v>
      </c>
      <c r="C13">
        <v>209701444.50611952</v>
      </c>
      <c r="D13">
        <v>848993.70245392516</v>
      </c>
    </row>
    <row r="14" spans="1:9" ht="15" thickBot="1" x14ac:dyDescent="0.35">
      <c r="A14" s="5" t="s">
        <v>413</v>
      </c>
      <c r="B14" s="5">
        <v>248</v>
      </c>
      <c r="C14" s="5">
        <v>265395957.51678565</v>
      </c>
      <c r="D14" s="5"/>
      <c r="E14" s="5"/>
      <c r="F14" s="5"/>
    </row>
    <row r="15" spans="1:9" ht="15" thickBot="1" x14ac:dyDescent="0.35"/>
    <row r="16" spans="1:9" x14ac:dyDescent="0.3">
      <c r="A16" s="6"/>
      <c r="B16" s="6" t="s">
        <v>420</v>
      </c>
      <c r="C16" s="6" t="s">
        <v>408</v>
      </c>
      <c r="D16" s="6" t="s">
        <v>421</v>
      </c>
      <c r="E16" s="6" t="s">
        <v>422</v>
      </c>
      <c r="F16" s="6" t="s">
        <v>423</v>
      </c>
      <c r="G16" s="6" t="s">
        <v>424</v>
      </c>
      <c r="H16" s="6" t="s">
        <v>425</v>
      </c>
      <c r="I16" s="6" t="s">
        <v>426</v>
      </c>
    </row>
    <row r="17" spans="1:9" x14ac:dyDescent="0.3">
      <c r="A17" t="s">
        <v>414</v>
      </c>
      <c r="B17">
        <v>-148.18856276399686</v>
      </c>
      <c r="C17">
        <v>143.94399015159905</v>
      </c>
      <c r="D17">
        <v>-1.029487668140417</v>
      </c>
      <c r="E17">
        <v>0.30425761488766012</v>
      </c>
      <c r="F17">
        <v>-431.70276968654099</v>
      </c>
      <c r="G17">
        <v>135.32564415854728</v>
      </c>
      <c r="H17">
        <v>-431.70276968654099</v>
      </c>
      <c r="I17">
        <v>135.32564415854728</v>
      </c>
    </row>
    <row r="18" spans="1:9" ht="15" thickBot="1" x14ac:dyDescent="0.35">
      <c r="A18" s="5">
        <v>3</v>
      </c>
      <c r="B18" s="5">
        <v>353.78860283764737</v>
      </c>
      <c r="C18" s="5">
        <v>43.680727926547888</v>
      </c>
      <c r="D18" s="5">
        <v>8.099420949041118</v>
      </c>
      <c r="E18" s="5">
        <v>2.5391277291093214E-14</v>
      </c>
      <c r="F18" s="5">
        <v>267.75439659637294</v>
      </c>
      <c r="G18" s="5">
        <v>439.82280907892181</v>
      </c>
      <c r="H18" s="5">
        <v>267.75439659637294</v>
      </c>
      <c r="I18" s="5">
        <v>439.82280907892181</v>
      </c>
    </row>
  </sheetData>
  <mergeCells count="1">
    <mergeCell ref="A1:B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8F185-EB6F-4073-AED1-4631787847B4}">
  <dimension ref="A1:V53"/>
  <sheetViews>
    <sheetView topLeftCell="I1" workbookViewId="0">
      <selection activeCell="Q3" sqref="Q3"/>
    </sheetView>
  </sheetViews>
  <sheetFormatPr defaultRowHeight="14.4" x14ac:dyDescent="0.3"/>
  <cols>
    <col min="4" max="4" width="15.88671875" customWidth="1"/>
    <col min="6" max="6" width="11.21875" customWidth="1"/>
    <col min="7" max="7" width="11.6640625" customWidth="1"/>
    <col min="16" max="16" width="16.88671875" bestFit="1" customWidth="1"/>
    <col min="17" max="17" width="19.77734375" bestFit="1" customWidth="1"/>
    <col min="18" max="18" width="12.5546875" bestFit="1" customWidth="1"/>
    <col min="19" max="19" width="16.21875" bestFit="1" customWidth="1"/>
    <col min="22" max="22" width="15.5546875" customWidth="1"/>
  </cols>
  <sheetData>
    <row r="1" spans="1:22" x14ac:dyDescent="0.3">
      <c r="A1" s="46" t="s">
        <v>429</v>
      </c>
      <c r="B1" s="46"/>
      <c r="C1" s="46"/>
      <c r="D1" s="46"/>
      <c r="E1" s="46"/>
      <c r="F1" s="46"/>
      <c r="G1" s="46"/>
      <c r="H1" s="46"/>
      <c r="I1" s="46"/>
      <c r="J1" s="46"/>
      <c r="K1" s="46"/>
      <c r="L1" s="46"/>
      <c r="M1" s="46"/>
      <c r="N1" s="46"/>
      <c r="P1" s="46" t="s">
        <v>431</v>
      </c>
      <c r="Q1" s="46"/>
      <c r="R1" s="52" t="s">
        <v>448</v>
      </c>
      <c r="S1" s="52"/>
      <c r="T1" s="36" t="s">
        <v>449</v>
      </c>
      <c r="U1" s="36"/>
      <c r="V1" s="36"/>
    </row>
    <row r="2" spans="1:22" ht="15.6" x14ac:dyDescent="0.3">
      <c r="A2" s="47" t="str" cm="1">
        <f t="array" ref="A2:N48">_xlfn._xlws.FILTER('Final Project Dataset'!A2:N252,'Final Project Dataset'!K2:K252="West")</f>
        <v>TRX0092</v>
      </c>
      <c r="B2" s="47">
        <v>45403</v>
      </c>
      <c r="C2" s="47" t="str">
        <v>CUST024</v>
      </c>
      <c r="D2" s="47" t="str">
        <v>Dorothy Nelson</v>
      </c>
      <c r="E2" s="47" t="str">
        <v>P005</v>
      </c>
      <c r="F2" s="47" t="str">
        <v>Blender</v>
      </c>
      <c r="G2" s="47" t="str">
        <v>Appliances</v>
      </c>
      <c r="H2" s="47">
        <v>2</v>
      </c>
      <c r="I2" s="47">
        <v>59.99</v>
      </c>
      <c r="J2" s="47" t="str">
        <v>Cash</v>
      </c>
      <c r="K2" s="47" t="str">
        <v>West</v>
      </c>
      <c r="L2" s="47" t="str">
        <v>Standard</v>
      </c>
      <c r="M2" s="47">
        <v>44746</v>
      </c>
      <c r="N2" s="47">
        <v>119.98</v>
      </c>
      <c r="P2" s="48" t="s">
        <v>430</v>
      </c>
      <c r="Q2" s="47" t="s">
        <v>428</v>
      </c>
      <c r="R2" s="48" t="s">
        <v>435</v>
      </c>
      <c r="S2" s="47" t="s">
        <v>436</v>
      </c>
      <c r="T2" s="50" t="s">
        <v>437</v>
      </c>
      <c r="U2" s="18" t="s">
        <v>438</v>
      </c>
      <c r="V2" s="19" t="s">
        <v>447</v>
      </c>
    </row>
    <row r="3" spans="1:22" x14ac:dyDescent="0.3">
      <c r="A3" s="47" t="str">
        <v>TRX0185</v>
      </c>
      <c r="B3" s="47">
        <v>45408</v>
      </c>
      <c r="C3" s="47" t="str">
        <v>CUST026</v>
      </c>
      <c r="D3" s="47" t="str">
        <v>Karen Hill</v>
      </c>
      <c r="E3" s="47" t="str">
        <v>P005</v>
      </c>
      <c r="F3" s="47" t="str">
        <v>Blender</v>
      </c>
      <c r="G3" s="47" t="str">
        <v>Appliances</v>
      </c>
      <c r="H3" s="47">
        <v>3</v>
      </c>
      <c r="I3" s="47">
        <v>59.99</v>
      </c>
      <c r="J3" s="47" t="str">
        <v>Cash</v>
      </c>
      <c r="K3" s="47" t="str">
        <v>West</v>
      </c>
      <c r="L3" s="47" t="str">
        <v>Premium</v>
      </c>
      <c r="M3" s="47">
        <v>45207</v>
      </c>
      <c r="N3" s="47">
        <v>179.97</v>
      </c>
      <c r="P3" s="49" t="s">
        <v>88</v>
      </c>
      <c r="Q3" s="56">
        <v>15659.65</v>
      </c>
      <c r="R3" s="49" t="s">
        <v>46</v>
      </c>
      <c r="S3" s="47">
        <v>35</v>
      </c>
      <c r="T3" s="51" t="s">
        <v>439</v>
      </c>
      <c r="U3" s="16" t="s">
        <v>440</v>
      </c>
      <c r="V3" s="17" t="str">
        <f>IF(COUNTIF($T$3:$T$7,U3)&gt;0,"Match","No Match")</f>
        <v>Match</v>
      </c>
    </row>
    <row r="4" spans="1:22" x14ac:dyDescent="0.3">
      <c r="A4" s="47" t="str">
        <v>TRX0138</v>
      </c>
      <c r="B4" s="47">
        <v>45408</v>
      </c>
      <c r="C4" s="47" t="str">
        <v>CUST022</v>
      </c>
      <c r="D4" s="47" t="str">
        <v>Susan Green</v>
      </c>
      <c r="E4" s="47" t="str">
        <v>P008</v>
      </c>
      <c r="F4" s="47" t="str">
        <v>Bookshelf</v>
      </c>
      <c r="G4" s="47" t="str">
        <v>Furniture</v>
      </c>
      <c r="H4" s="47">
        <v>1</v>
      </c>
      <c r="I4" s="47">
        <v>149.99</v>
      </c>
      <c r="J4" s="47" t="str">
        <v>Credit Card</v>
      </c>
      <c r="K4" s="47" t="str">
        <v>West</v>
      </c>
      <c r="L4" s="47" t="str">
        <v>Standard</v>
      </c>
      <c r="M4" s="47">
        <v>45103</v>
      </c>
      <c r="N4" s="47">
        <v>149.99</v>
      </c>
      <c r="P4" s="49" t="s">
        <v>125</v>
      </c>
      <c r="Q4" s="56">
        <v>11919.769999999999</v>
      </c>
      <c r="R4" s="49" t="s">
        <v>119</v>
      </c>
      <c r="S4" s="47">
        <v>34</v>
      </c>
      <c r="T4" s="51" t="s">
        <v>441</v>
      </c>
      <c r="U4" s="16" t="s">
        <v>439</v>
      </c>
      <c r="V4" s="17" t="str">
        <f t="shared" ref="V4:V7" si="0">IF(COUNTIF($T$3:$T$7,U4)&gt;0,"Match","No Match")</f>
        <v>Match</v>
      </c>
    </row>
    <row r="5" spans="1:22" x14ac:dyDescent="0.3">
      <c r="A5" s="47" t="str">
        <v>TRX0191</v>
      </c>
      <c r="B5" s="47">
        <v>45409</v>
      </c>
      <c r="C5" s="47" t="str">
        <v>CUST038</v>
      </c>
      <c r="D5" s="47" t="str">
        <v>Michelle Rogers</v>
      </c>
      <c r="E5" s="47" t="str">
        <v>P002</v>
      </c>
      <c r="F5" s="47" t="str">
        <v>Smartphone</v>
      </c>
      <c r="G5" s="47" t="str">
        <v>Electronics</v>
      </c>
      <c r="H5" s="47">
        <v>3</v>
      </c>
      <c r="I5" s="47">
        <v>699.99</v>
      </c>
      <c r="J5" s="47" t="str">
        <v>Credit Card</v>
      </c>
      <c r="K5" s="47" t="str">
        <v>West</v>
      </c>
      <c r="L5" s="47" t="str">
        <v>Basic</v>
      </c>
      <c r="M5" s="47">
        <v>44577</v>
      </c>
      <c r="N5" s="47">
        <v>2099.9699999999998</v>
      </c>
      <c r="P5" s="49" t="s">
        <v>98</v>
      </c>
      <c r="Q5" s="56">
        <v>10649.8</v>
      </c>
      <c r="R5" s="49" t="s">
        <v>82</v>
      </c>
      <c r="S5" s="47">
        <v>31</v>
      </c>
      <c r="T5" s="51" t="s">
        <v>442</v>
      </c>
      <c r="U5" s="16" t="s">
        <v>443</v>
      </c>
      <c r="V5" s="17" t="str">
        <f t="shared" si="0"/>
        <v>No Match</v>
      </c>
    </row>
    <row r="6" spans="1:22" x14ac:dyDescent="0.3">
      <c r="A6" s="47" t="str">
        <v>TRX0122</v>
      </c>
      <c r="B6" s="47">
        <v>45410</v>
      </c>
      <c r="C6" s="47" t="str">
        <v>CUST025</v>
      </c>
      <c r="D6" s="47" t="str">
        <v>Mark Carter</v>
      </c>
      <c r="E6" s="47" t="str">
        <v>P001</v>
      </c>
      <c r="F6" s="47" t="str">
        <v>Laptop</v>
      </c>
      <c r="G6" s="47" t="str">
        <v>Electronics</v>
      </c>
      <c r="H6" s="47">
        <v>4</v>
      </c>
      <c r="I6" s="47">
        <v>899.99</v>
      </c>
      <c r="J6" s="47" t="str">
        <v>Credit Card</v>
      </c>
      <c r="K6" s="47" t="str">
        <v>West</v>
      </c>
      <c r="L6" s="47" t="str">
        <v>Standard</v>
      </c>
      <c r="M6" s="47">
        <v>45327</v>
      </c>
      <c r="N6" s="47">
        <v>3599.96</v>
      </c>
      <c r="P6" s="49" t="s">
        <v>101</v>
      </c>
      <c r="Q6" s="56">
        <v>9799.73</v>
      </c>
      <c r="R6" s="49" t="s">
        <v>33</v>
      </c>
      <c r="S6" s="47">
        <v>29</v>
      </c>
      <c r="T6" s="51" t="s">
        <v>440</v>
      </c>
      <c r="U6" s="16" t="s">
        <v>444</v>
      </c>
      <c r="V6" s="17" t="str">
        <f t="shared" si="0"/>
        <v>No Match</v>
      </c>
    </row>
    <row r="7" spans="1:22" x14ac:dyDescent="0.3">
      <c r="A7" s="47" t="str">
        <v>TRX0231</v>
      </c>
      <c r="B7" s="47">
        <v>45412</v>
      </c>
      <c r="C7" s="47" t="str">
        <v>CUST018</v>
      </c>
      <c r="D7" s="47" t="str">
        <v>Barbara Young</v>
      </c>
      <c r="E7" s="47" t="str">
        <v>P002</v>
      </c>
      <c r="F7" s="47" t="str">
        <v>Smartphone</v>
      </c>
      <c r="G7" s="47" t="str">
        <v>Electronics</v>
      </c>
      <c r="H7" s="47">
        <v>5</v>
      </c>
      <c r="I7" s="47">
        <v>699.99</v>
      </c>
      <c r="J7" s="47" t="str">
        <v>Cash</v>
      </c>
      <c r="K7" s="47" t="str">
        <v>West</v>
      </c>
      <c r="L7" s="47" t="str">
        <v>Basic</v>
      </c>
      <c r="M7" s="47">
        <v>45167</v>
      </c>
      <c r="N7" s="47">
        <v>3499.95</v>
      </c>
      <c r="P7" s="49" t="s">
        <v>17</v>
      </c>
      <c r="Q7" s="56">
        <v>8309.739999999998</v>
      </c>
      <c r="R7" s="49" t="s">
        <v>107</v>
      </c>
      <c r="S7" s="47">
        <v>26</v>
      </c>
      <c r="T7" s="51" t="s">
        <v>445</v>
      </c>
      <c r="U7" s="16" t="s">
        <v>441</v>
      </c>
      <c r="V7" s="17" t="str">
        <f t="shared" si="0"/>
        <v>Match</v>
      </c>
    </row>
    <row r="8" spans="1:22" x14ac:dyDescent="0.3">
      <c r="A8" s="47" t="str">
        <v>TRX0242</v>
      </c>
      <c r="B8" s="47">
        <v>45416</v>
      </c>
      <c r="C8" s="47" t="str">
        <v>CUST025</v>
      </c>
      <c r="D8" s="47" t="str">
        <v>Mark Carter</v>
      </c>
      <c r="E8" s="47" t="str">
        <v>P007</v>
      </c>
      <c r="F8" s="47" t="str">
        <v>Desk</v>
      </c>
      <c r="G8" s="47" t="str">
        <v>Furniture</v>
      </c>
      <c r="H8" s="47">
        <v>4</v>
      </c>
      <c r="I8" s="47">
        <v>299.99</v>
      </c>
      <c r="J8" s="47" t="str">
        <v>Cash</v>
      </c>
      <c r="K8" s="47" t="str">
        <v>West</v>
      </c>
      <c r="L8" s="47" t="str">
        <v>Premium</v>
      </c>
      <c r="M8" s="47">
        <v>44716</v>
      </c>
      <c r="N8" s="47">
        <v>1199.96</v>
      </c>
      <c r="P8" s="49" t="s">
        <v>50</v>
      </c>
      <c r="Q8" s="56">
        <v>8269.7900000000009</v>
      </c>
      <c r="R8" s="49" t="s">
        <v>19</v>
      </c>
      <c r="S8" s="47">
        <v>26</v>
      </c>
    </row>
    <row r="9" spans="1:22" x14ac:dyDescent="0.3">
      <c r="A9" s="47" t="str">
        <v>TRX0071</v>
      </c>
      <c r="B9" s="47">
        <v>45422</v>
      </c>
      <c r="C9" s="47" t="str">
        <v>CUST036</v>
      </c>
      <c r="D9" s="47" t="str">
        <v>Nancy Collins</v>
      </c>
      <c r="E9" s="47" t="str">
        <v>P009</v>
      </c>
      <c r="F9" s="47" t="str">
        <v>Monitor</v>
      </c>
      <c r="G9" s="47" t="str">
        <v>Electronics</v>
      </c>
      <c r="H9" s="47">
        <v>5</v>
      </c>
      <c r="I9" s="47">
        <v>249.99</v>
      </c>
      <c r="J9" s="47" t="str">
        <v>Credit Card</v>
      </c>
      <c r="K9" s="47" t="str">
        <v>West</v>
      </c>
      <c r="L9" s="47" t="str">
        <v>Standard</v>
      </c>
      <c r="M9" s="47">
        <v>44525</v>
      </c>
      <c r="N9" s="47">
        <v>1249.95</v>
      </c>
      <c r="P9" s="49" t="s">
        <v>67</v>
      </c>
      <c r="Q9" s="56">
        <v>8009.7699999999995</v>
      </c>
      <c r="R9" s="49" t="s">
        <v>63</v>
      </c>
      <c r="S9" s="47">
        <v>24</v>
      </c>
    </row>
    <row r="10" spans="1:22" x14ac:dyDescent="0.3">
      <c r="A10" s="47" t="str">
        <v>TRX0194</v>
      </c>
      <c r="B10" s="47">
        <v>45428</v>
      </c>
      <c r="C10" s="47" t="str">
        <v>CUST006</v>
      </c>
      <c r="D10" s="47" t="str">
        <v>Lisa Anderson</v>
      </c>
      <c r="E10" s="47" t="str">
        <v>P008</v>
      </c>
      <c r="F10" s="47" t="str">
        <v>Bookshelf</v>
      </c>
      <c r="G10" s="47" t="str">
        <v>Furniture</v>
      </c>
      <c r="H10" s="47">
        <v>2</v>
      </c>
      <c r="I10" s="47">
        <v>149.99</v>
      </c>
      <c r="J10" s="47" t="str">
        <v>Credit Card</v>
      </c>
      <c r="K10" s="47" t="str">
        <v>West</v>
      </c>
      <c r="L10" s="47" t="str">
        <v>Basic</v>
      </c>
      <c r="M10" s="47">
        <v>44823</v>
      </c>
      <c r="N10" s="47">
        <v>299.98</v>
      </c>
      <c r="P10" s="49" t="s">
        <v>149</v>
      </c>
      <c r="Q10" s="56">
        <v>7309.7999999999993</v>
      </c>
      <c r="R10" s="49" t="s">
        <v>54</v>
      </c>
      <c r="S10" s="47">
        <v>16</v>
      </c>
    </row>
    <row r="11" spans="1:22" x14ac:dyDescent="0.3">
      <c r="A11" s="47" t="str">
        <v>TRX0130</v>
      </c>
      <c r="B11" s="47">
        <v>45430</v>
      </c>
      <c r="C11" s="47" t="str">
        <v>CUST002</v>
      </c>
      <c r="D11" s="47" t="str">
        <v>Emma Wilson</v>
      </c>
      <c r="E11" s="47" t="str">
        <v>P008</v>
      </c>
      <c r="F11" s="47" t="str">
        <v>Bookshelf</v>
      </c>
      <c r="G11" s="47" t="str">
        <v>Furniture</v>
      </c>
      <c r="H11" s="47">
        <v>3</v>
      </c>
      <c r="I11" s="47">
        <v>149.99</v>
      </c>
      <c r="J11" s="47" t="str">
        <v>Credit Card</v>
      </c>
      <c r="K11" s="47" t="str">
        <v>West</v>
      </c>
      <c r="L11" s="47" t="str">
        <v>Premium</v>
      </c>
      <c r="M11" s="47">
        <v>45068</v>
      </c>
      <c r="N11" s="47">
        <v>449.97</v>
      </c>
      <c r="P11" s="49" t="s">
        <v>228</v>
      </c>
      <c r="Q11" s="56">
        <v>6989.7699999999986</v>
      </c>
      <c r="R11" s="49" t="s">
        <v>128</v>
      </c>
      <c r="S11" s="47">
        <v>15</v>
      </c>
    </row>
    <row r="12" spans="1:22" x14ac:dyDescent="0.3">
      <c r="A12" s="47" t="str">
        <v>TRX0041</v>
      </c>
      <c r="B12" s="47">
        <v>45432</v>
      </c>
      <c r="C12" s="47" t="str">
        <v>CUST021</v>
      </c>
      <c r="D12" s="47" t="str">
        <v>Kevin Scott</v>
      </c>
      <c r="E12" s="47" t="str">
        <v>P001</v>
      </c>
      <c r="F12" s="47" t="str">
        <v>Laptop</v>
      </c>
      <c r="G12" s="47" t="str">
        <v>Electronics</v>
      </c>
      <c r="H12" s="47">
        <v>1</v>
      </c>
      <c r="I12" s="47">
        <v>899.99</v>
      </c>
      <c r="J12" s="47" t="str">
        <v>Credit Card</v>
      </c>
      <c r="K12" s="47" t="str">
        <v>West</v>
      </c>
      <c r="L12" s="47" t="str">
        <v>Premium</v>
      </c>
      <c r="M12" s="47">
        <v>44578</v>
      </c>
      <c r="N12" s="47">
        <v>899.99</v>
      </c>
      <c r="P12" s="49" t="s">
        <v>26</v>
      </c>
      <c r="Q12" s="56">
        <v>6949.84</v>
      </c>
      <c r="R12" s="49" t="s">
        <v>116</v>
      </c>
      <c r="S12" s="47">
        <v>14</v>
      </c>
    </row>
    <row r="13" spans="1:22" x14ac:dyDescent="0.3">
      <c r="A13" s="47" t="str">
        <v>TRX0015</v>
      </c>
      <c r="B13" s="47">
        <v>45440</v>
      </c>
      <c r="C13" s="47" t="str">
        <v>CUST008</v>
      </c>
      <c r="D13" s="47" t="str">
        <v>Jennifer Taylor</v>
      </c>
      <c r="E13" s="47" t="str">
        <v>P002</v>
      </c>
      <c r="F13" s="47" t="str">
        <v>Smartphone</v>
      </c>
      <c r="G13" s="47" t="str">
        <v>Electronics</v>
      </c>
      <c r="H13" s="47">
        <v>5</v>
      </c>
      <c r="I13" s="47">
        <v>699.99</v>
      </c>
      <c r="J13" s="47" t="str">
        <v>PayPal</v>
      </c>
      <c r="K13" s="47" t="str">
        <v>West</v>
      </c>
      <c r="L13" s="47" t="str">
        <v>Standard</v>
      </c>
      <c r="M13" s="47">
        <v>44407</v>
      </c>
      <c r="N13" s="47">
        <v>3499.95</v>
      </c>
      <c r="P13" s="49" t="s">
        <v>122</v>
      </c>
      <c r="Q13" s="56">
        <v>6459.79</v>
      </c>
      <c r="R13" s="49" t="s">
        <v>427</v>
      </c>
      <c r="S13" s="47">
        <v>250</v>
      </c>
    </row>
    <row r="14" spans="1:22" x14ac:dyDescent="0.3">
      <c r="A14" s="47" t="str">
        <v>TRX0128</v>
      </c>
      <c r="B14" s="47">
        <v>45444</v>
      </c>
      <c r="C14" s="47" t="str">
        <v>CUST040</v>
      </c>
      <c r="D14" s="47" t="str">
        <v>Sharon Butler</v>
      </c>
      <c r="E14" s="47" t="str">
        <v>P005</v>
      </c>
      <c r="F14" s="47" t="str">
        <v>Blender</v>
      </c>
      <c r="G14" s="47" t="str">
        <v>Appliances</v>
      </c>
      <c r="H14" s="47">
        <v>2</v>
      </c>
      <c r="I14" s="47">
        <v>59.99</v>
      </c>
      <c r="J14" s="47" t="str">
        <v>Cash</v>
      </c>
      <c r="K14" s="47" t="str">
        <v>West</v>
      </c>
      <c r="L14" s="47" t="str">
        <v>Basic</v>
      </c>
      <c r="M14" s="47">
        <v>45390</v>
      </c>
      <c r="N14" s="47">
        <v>119.98</v>
      </c>
      <c r="P14" s="49" t="s">
        <v>198</v>
      </c>
      <c r="Q14" s="56">
        <v>6379.87</v>
      </c>
    </row>
    <row r="15" spans="1:22" x14ac:dyDescent="0.3">
      <c r="A15" s="47" t="str">
        <v>TRX0061</v>
      </c>
      <c r="B15" s="47">
        <v>45460</v>
      </c>
      <c r="C15" s="47" t="str">
        <v>CUST028</v>
      </c>
      <c r="D15" s="47" t="str">
        <v>Betty Campbell</v>
      </c>
      <c r="E15" s="47" t="str">
        <v>P005</v>
      </c>
      <c r="F15" s="47" t="str">
        <v>Blender</v>
      </c>
      <c r="G15" s="47" t="str">
        <v>Appliances</v>
      </c>
      <c r="H15" s="47">
        <v>1</v>
      </c>
      <c r="I15" s="47">
        <v>59.99</v>
      </c>
      <c r="J15" s="47" t="str">
        <v>Debit Card</v>
      </c>
      <c r="K15" s="47" t="str">
        <v>West</v>
      </c>
      <c r="L15" s="47" t="str">
        <v>Premium</v>
      </c>
      <c r="M15" s="47">
        <v>45190</v>
      </c>
      <c r="N15" s="47">
        <v>59.99</v>
      </c>
      <c r="P15" s="49" t="s">
        <v>236</v>
      </c>
      <c r="Q15" s="56">
        <v>6349.83</v>
      </c>
    </row>
    <row r="16" spans="1:22" x14ac:dyDescent="0.3">
      <c r="A16" s="47" t="str">
        <v>TRX0007</v>
      </c>
      <c r="B16" s="47">
        <v>45469</v>
      </c>
      <c r="C16" s="47" t="str">
        <v>CUST009</v>
      </c>
      <c r="D16" s="47" t="str">
        <v>Robert Thomas</v>
      </c>
      <c r="E16" s="47" t="str">
        <v>P010</v>
      </c>
      <c r="F16" s="47" t="str">
        <v>Keyboard</v>
      </c>
      <c r="G16" s="47" t="str">
        <v>Electronics</v>
      </c>
      <c r="H16" s="47">
        <v>2</v>
      </c>
      <c r="I16" s="47">
        <v>89.99</v>
      </c>
      <c r="J16" s="47" t="str">
        <v>Cash</v>
      </c>
      <c r="K16" s="47" t="str">
        <v>West</v>
      </c>
      <c r="L16" s="47" t="str">
        <v>Basic</v>
      </c>
      <c r="M16" s="47">
        <v>44438</v>
      </c>
      <c r="N16" s="47">
        <v>179.98</v>
      </c>
      <c r="P16" s="49" t="s">
        <v>44</v>
      </c>
      <c r="Q16" s="56">
        <v>6169.7400000000007</v>
      </c>
    </row>
    <row r="17" spans="1:17" x14ac:dyDescent="0.3">
      <c r="A17" s="47" t="str">
        <v>TRX0192</v>
      </c>
      <c r="B17" s="47">
        <v>45475</v>
      </c>
      <c r="C17" s="47" t="str">
        <v>CUST017</v>
      </c>
      <c r="D17" s="47" t="str">
        <v>Charles Allen</v>
      </c>
      <c r="E17" s="47" t="str">
        <v>P010</v>
      </c>
      <c r="F17" s="47" t="str">
        <v>Keyboard</v>
      </c>
      <c r="G17" s="47" t="str">
        <v>Electronics</v>
      </c>
      <c r="H17" s="47">
        <v>1</v>
      </c>
      <c r="I17" s="47">
        <v>89.99</v>
      </c>
      <c r="J17" s="47" t="str">
        <v>PayPal</v>
      </c>
      <c r="K17" s="47" t="str">
        <v>West</v>
      </c>
      <c r="L17" s="47" t="str">
        <v>Standard</v>
      </c>
      <c r="M17" s="47">
        <v>44802</v>
      </c>
      <c r="N17" s="47">
        <v>89.99</v>
      </c>
      <c r="P17" s="49" t="s">
        <v>74</v>
      </c>
      <c r="Q17" s="56">
        <v>5949.85</v>
      </c>
    </row>
    <row r="18" spans="1:17" x14ac:dyDescent="0.3">
      <c r="A18" s="47" t="str">
        <v>TRX0169</v>
      </c>
      <c r="B18" s="47">
        <v>45490</v>
      </c>
      <c r="C18" s="47" t="str">
        <v>CUST047</v>
      </c>
      <c r="D18" s="47" t="str">
        <v>Gerald Murphy</v>
      </c>
      <c r="E18" s="47" t="str">
        <v>P005</v>
      </c>
      <c r="F18" s="47" t="str">
        <v>Blender</v>
      </c>
      <c r="G18" s="47" t="str">
        <v>Appliances</v>
      </c>
      <c r="H18" s="47">
        <v>3</v>
      </c>
      <c r="I18" s="47">
        <v>59.99</v>
      </c>
      <c r="J18" s="47" t="str">
        <v>Credit Card</v>
      </c>
      <c r="K18" s="47" t="str">
        <v>West</v>
      </c>
      <c r="L18" s="47" t="str">
        <v>Basic</v>
      </c>
      <c r="M18" s="47">
        <v>45130</v>
      </c>
      <c r="N18" s="47">
        <v>179.97</v>
      </c>
      <c r="P18" s="49" t="s">
        <v>160</v>
      </c>
      <c r="Q18" s="56">
        <v>5649.84</v>
      </c>
    </row>
    <row r="19" spans="1:17" x14ac:dyDescent="0.3">
      <c r="A19" s="47" t="str">
        <v>TRX0065</v>
      </c>
      <c r="B19" s="47">
        <v>45509</v>
      </c>
      <c r="C19" s="47" t="str">
        <v>CUST016</v>
      </c>
      <c r="D19" s="47" t="str">
        <v>Elizabeth Hall</v>
      </c>
      <c r="E19" s="47" t="str">
        <v>P008</v>
      </c>
      <c r="F19" s="47" t="str">
        <v>Bookshelf</v>
      </c>
      <c r="G19" s="47" t="str">
        <v>Furniture</v>
      </c>
      <c r="H19" s="47">
        <v>2</v>
      </c>
      <c r="I19" s="47">
        <v>149.99</v>
      </c>
      <c r="J19" s="47" t="str">
        <v>Credit Card</v>
      </c>
      <c r="K19" s="47" t="str">
        <v>West</v>
      </c>
      <c r="L19" s="47" t="str">
        <v>Basic</v>
      </c>
      <c r="M19" s="47">
        <v>44542</v>
      </c>
      <c r="N19" s="47">
        <v>299.98</v>
      </c>
      <c r="P19" s="49" t="s">
        <v>152</v>
      </c>
      <c r="Q19" s="56">
        <v>5619.869999999999</v>
      </c>
    </row>
    <row r="20" spans="1:17" x14ac:dyDescent="0.3">
      <c r="A20" s="47" t="str">
        <v>TRX0170</v>
      </c>
      <c r="B20" s="47">
        <v>45532</v>
      </c>
      <c r="C20" s="47" t="str">
        <v>CUST034</v>
      </c>
      <c r="D20" s="47" t="str">
        <v>Carol Evans</v>
      </c>
      <c r="E20" s="47" t="str">
        <v>P003</v>
      </c>
      <c r="F20" s="47" t="str">
        <v>Headphones</v>
      </c>
      <c r="G20" s="47" t="str">
        <v>Electronics</v>
      </c>
      <c r="H20" s="47">
        <v>3</v>
      </c>
      <c r="I20" s="47">
        <v>149.99</v>
      </c>
      <c r="J20" s="47" t="str">
        <v>Cash</v>
      </c>
      <c r="K20" s="47" t="str">
        <v>West</v>
      </c>
      <c r="L20" s="47" t="str">
        <v>Premium</v>
      </c>
      <c r="M20" s="47">
        <v>45212</v>
      </c>
      <c r="N20" s="47">
        <v>449.97</v>
      </c>
      <c r="P20" s="49" t="s">
        <v>146</v>
      </c>
      <c r="Q20" s="56">
        <v>5519.8899999999994</v>
      </c>
    </row>
    <row r="21" spans="1:17" x14ac:dyDescent="0.3">
      <c r="A21" s="47" t="str">
        <v>TRX0099</v>
      </c>
      <c r="B21" s="47">
        <v>45537</v>
      </c>
      <c r="C21" s="47" t="str">
        <v>CUST034</v>
      </c>
      <c r="D21" s="47" t="str">
        <v>Carol Evans</v>
      </c>
      <c r="E21" s="47" t="str">
        <v>P009</v>
      </c>
      <c r="F21" s="47" t="str">
        <v>Monitor</v>
      </c>
      <c r="G21" s="47" t="str">
        <v>Electronics</v>
      </c>
      <c r="H21" s="47">
        <v>1</v>
      </c>
      <c r="I21" s="47">
        <v>249.99</v>
      </c>
      <c r="J21" s="47" t="str">
        <v>Credit Card</v>
      </c>
      <c r="K21" s="47" t="str">
        <v>West</v>
      </c>
      <c r="L21" s="47" t="str">
        <v>Premium</v>
      </c>
      <c r="M21" s="47">
        <v>44685</v>
      </c>
      <c r="N21" s="47">
        <v>249.99</v>
      </c>
      <c r="P21" s="49" t="s">
        <v>156</v>
      </c>
      <c r="Q21" s="56">
        <v>5499.8099999999995</v>
      </c>
    </row>
    <row r="22" spans="1:17" x14ac:dyDescent="0.3">
      <c r="A22" s="47" t="str">
        <v>TRX0161</v>
      </c>
      <c r="B22" s="47">
        <v>45545</v>
      </c>
      <c r="C22" s="47" t="str">
        <v>CUST017</v>
      </c>
      <c r="D22" s="47" t="str">
        <v>Charles Allen</v>
      </c>
      <c r="E22" s="47" t="str">
        <v>P004</v>
      </c>
      <c r="F22" s="47" t="str">
        <v>Coffee Maker</v>
      </c>
      <c r="G22" s="47" t="str">
        <v>Appliances</v>
      </c>
      <c r="H22" s="47">
        <v>1</v>
      </c>
      <c r="I22" s="47">
        <v>79.989999999999995</v>
      </c>
      <c r="J22" s="47" t="str">
        <v>Cash</v>
      </c>
      <c r="K22" s="47" t="str">
        <v>West</v>
      </c>
      <c r="L22" s="47" t="str">
        <v>Basic</v>
      </c>
      <c r="M22" s="47">
        <v>44693</v>
      </c>
      <c r="N22" s="47">
        <v>79.989999999999995</v>
      </c>
      <c r="P22" s="49" t="s">
        <v>57</v>
      </c>
      <c r="Q22" s="56">
        <v>5089.7300000000005</v>
      </c>
    </row>
    <row r="23" spans="1:17" x14ac:dyDescent="0.3">
      <c r="A23" s="47" t="str">
        <v>TRX0158</v>
      </c>
      <c r="B23" s="47">
        <v>45579</v>
      </c>
      <c r="C23" s="47" t="str">
        <v>CUST027</v>
      </c>
      <c r="D23" s="47" t="str">
        <v>George Adams</v>
      </c>
      <c r="E23" s="47" t="str">
        <v>P001</v>
      </c>
      <c r="F23" s="47" t="str">
        <v>Laptop</v>
      </c>
      <c r="G23" s="47" t="str">
        <v>Electronics</v>
      </c>
      <c r="H23" s="47">
        <v>3</v>
      </c>
      <c r="I23" s="47">
        <v>899.99</v>
      </c>
      <c r="J23" s="47" t="str">
        <v>PayPal</v>
      </c>
      <c r="K23" s="47" t="str">
        <v>West</v>
      </c>
      <c r="L23" s="47" t="str">
        <v>Basic</v>
      </c>
      <c r="M23" s="47">
        <v>45215</v>
      </c>
      <c r="N23" s="47">
        <v>2699.97</v>
      </c>
      <c r="P23" s="49" t="s">
        <v>295</v>
      </c>
      <c r="Q23" s="56">
        <v>4829.8899999999994</v>
      </c>
    </row>
    <row r="24" spans="1:17" x14ac:dyDescent="0.3">
      <c r="A24" s="47" t="str">
        <v>TRX0190</v>
      </c>
      <c r="B24" s="47">
        <v>45583</v>
      </c>
      <c r="C24" s="47" t="str">
        <v>CUST039</v>
      </c>
      <c r="D24" s="47" t="str">
        <v>Lawrence Reed</v>
      </c>
      <c r="E24" s="47" t="str">
        <v>P003</v>
      </c>
      <c r="F24" s="47" t="str">
        <v>Headphones</v>
      </c>
      <c r="G24" s="47" t="str">
        <v>Electronics</v>
      </c>
      <c r="H24" s="47">
        <v>2</v>
      </c>
      <c r="I24" s="47">
        <v>149.99</v>
      </c>
      <c r="J24" s="47" t="str">
        <v>Credit Card</v>
      </c>
      <c r="K24" s="47" t="str">
        <v>West</v>
      </c>
      <c r="L24" s="47" t="str">
        <v>Basic</v>
      </c>
      <c r="M24" s="47">
        <v>44916</v>
      </c>
      <c r="N24" s="47">
        <v>299.98</v>
      </c>
      <c r="P24" s="49" t="s">
        <v>95</v>
      </c>
      <c r="Q24" s="56">
        <v>4789.7900000000009</v>
      </c>
    </row>
    <row r="25" spans="1:17" x14ac:dyDescent="0.3">
      <c r="A25" s="47" t="str">
        <v>TRX0109</v>
      </c>
      <c r="B25" s="47">
        <v>45604</v>
      </c>
      <c r="C25" s="47" t="str">
        <v>CUST010</v>
      </c>
      <c r="D25" s="47" t="str">
        <v>Maria Garcia</v>
      </c>
      <c r="E25" s="47" t="str">
        <v>P008</v>
      </c>
      <c r="F25" s="47" t="str">
        <v>Bookshelf</v>
      </c>
      <c r="G25" s="47" t="str">
        <v>Furniture</v>
      </c>
      <c r="H25" s="47">
        <v>2</v>
      </c>
      <c r="I25" s="47">
        <v>149.99</v>
      </c>
      <c r="J25" s="47" t="str">
        <v>Credit Card</v>
      </c>
      <c r="K25" s="47" t="str">
        <v>West</v>
      </c>
      <c r="L25" s="47" t="str">
        <v>Premium</v>
      </c>
      <c r="M25" s="47">
        <v>44848</v>
      </c>
      <c r="N25" s="47">
        <v>299.98</v>
      </c>
      <c r="P25" s="49" t="s">
        <v>254</v>
      </c>
      <c r="Q25" s="56">
        <v>4749.91</v>
      </c>
    </row>
    <row r="26" spans="1:17" x14ac:dyDescent="0.3">
      <c r="A26" s="47" t="str">
        <v>TRX0172</v>
      </c>
      <c r="B26" s="47">
        <v>45607</v>
      </c>
      <c r="C26" s="47" t="str">
        <v>CUST023</v>
      </c>
      <c r="D26" s="47" t="str">
        <v>Paul Baker</v>
      </c>
      <c r="E26" s="47" t="str">
        <v>P005</v>
      </c>
      <c r="F26" s="47" t="str">
        <v>Blender</v>
      </c>
      <c r="G26" s="47" t="str">
        <v>Appliances</v>
      </c>
      <c r="H26" s="47">
        <v>5</v>
      </c>
      <c r="I26" s="47">
        <v>59.99</v>
      </c>
      <c r="J26" s="47" t="str">
        <v>PayPal</v>
      </c>
      <c r="K26" s="47" t="str">
        <v>West</v>
      </c>
      <c r="L26" s="47" t="str">
        <v>Premium</v>
      </c>
      <c r="M26" s="47">
        <v>44694</v>
      </c>
      <c r="N26" s="47">
        <v>299.95</v>
      </c>
      <c r="P26" s="49" t="s">
        <v>143</v>
      </c>
      <c r="Q26" s="56">
        <v>4739.8500000000004</v>
      </c>
    </row>
    <row r="27" spans="1:17" x14ac:dyDescent="0.3">
      <c r="A27" s="47" t="str">
        <v>TRX0076</v>
      </c>
      <c r="B27" s="47">
        <v>45607</v>
      </c>
      <c r="C27" s="47" t="str">
        <v>CUST012</v>
      </c>
      <c r="D27" s="47" t="str">
        <v>Patricia Moore</v>
      </c>
      <c r="E27" s="47" t="str">
        <v>P009</v>
      </c>
      <c r="F27" s="47" t="str">
        <v>Monitor</v>
      </c>
      <c r="G27" s="47" t="str">
        <v>Electronics</v>
      </c>
      <c r="H27" s="47">
        <v>4</v>
      </c>
      <c r="I27" s="47">
        <v>249.99</v>
      </c>
      <c r="J27" s="47" t="str">
        <v>Credit Card</v>
      </c>
      <c r="K27" s="47" t="str">
        <v>West</v>
      </c>
      <c r="L27" s="47" t="str">
        <v>Standard</v>
      </c>
      <c r="M27" s="47">
        <v>44659</v>
      </c>
      <c r="N27" s="47">
        <v>999.96</v>
      </c>
      <c r="P27" s="49" t="s">
        <v>40</v>
      </c>
      <c r="Q27" s="56">
        <v>4309.8099999999995</v>
      </c>
    </row>
    <row r="28" spans="1:17" x14ac:dyDescent="0.3">
      <c r="A28" s="47" t="str">
        <v>TRX0033</v>
      </c>
      <c r="B28" s="47">
        <v>45613</v>
      </c>
      <c r="C28" s="47" t="str">
        <v>CUST025</v>
      </c>
      <c r="D28" s="47" t="str">
        <v>Mark Carter</v>
      </c>
      <c r="E28" s="47" t="str">
        <v>P002</v>
      </c>
      <c r="F28" s="47" t="str">
        <v>Smartphone</v>
      </c>
      <c r="G28" s="47" t="str">
        <v>Electronics</v>
      </c>
      <c r="H28" s="47">
        <v>2</v>
      </c>
      <c r="I28" s="47">
        <v>699.99</v>
      </c>
      <c r="J28" s="47" t="str">
        <v>PayPal</v>
      </c>
      <c r="K28" s="47" t="str">
        <v>West</v>
      </c>
      <c r="L28" s="47" t="str">
        <v>Standard</v>
      </c>
      <c r="M28" s="47">
        <v>44770</v>
      </c>
      <c r="N28" s="47">
        <v>1399.98</v>
      </c>
      <c r="P28" s="49" t="s">
        <v>80</v>
      </c>
      <c r="Q28" s="56">
        <v>4199.9399999999996</v>
      </c>
    </row>
    <row r="29" spans="1:17" x14ac:dyDescent="0.3">
      <c r="A29" s="47" t="str">
        <v>TRX0145</v>
      </c>
      <c r="B29" s="47">
        <v>45619</v>
      </c>
      <c r="C29" s="47" t="str">
        <v>CUST033</v>
      </c>
      <c r="D29" s="47" t="str">
        <v>Frank Torres</v>
      </c>
      <c r="E29" s="47" t="str">
        <v>P005</v>
      </c>
      <c r="F29" s="47" t="str">
        <v>Blender</v>
      </c>
      <c r="G29" s="47" t="str">
        <v>Appliances</v>
      </c>
      <c r="H29" s="47">
        <v>1</v>
      </c>
      <c r="I29" s="47">
        <v>59.99</v>
      </c>
      <c r="J29" s="47" t="str">
        <v>Debit Card</v>
      </c>
      <c r="K29" s="47" t="str">
        <v>West</v>
      </c>
      <c r="L29" s="47" t="str">
        <v>Standard</v>
      </c>
      <c r="M29" s="47">
        <v>44560</v>
      </c>
      <c r="N29" s="47">
        <v>59.99</v>
      </c>
      <c r="P29" s="49" t="s">
        <v>110</v>
      </c>
      <c r="Q29" s="56">
        <v>4189.7700000000004</v>
      </c>
    </row>
    <row r="30" spans="1:17" x14ac:dyDescent="0.3">
      <c r="A30" s="47" t="str">
        <v>TRX0148</v>
      </c>
      <c r="B30" s="47">
        <v>45619</v>
      </c>
      <c r="C30" s="47" t="str">
        <v>CUST004</v>
      </c>
      <c r="D30" s="47" t="str">
        <v>Sarah Davis</v>
      </c>
      <c r="E30" s="47" t="str">
        <v>P002</v>
      </c>
      <c r="F30" s="47" t="str">
        <v>Smartphone</v>
      </c>
      <c r="G30" s="47" t="str">
        <v>Electronics</v>
      </c>
      <c r="H30" s="47">
        <v>3</v>
      </c>
      <c r="I30" s="47">
        <v>699.99</v>
      </c>
      <c r="J30" s="47" t="str">
        <v>PayPal</v>
      </c>
      <c r="K30" s="47" t="str">
        <v>West</v>
      </c>
      <c r="L30" s="47" t="str">
        <v>Standard</v>
      </c>
      <c r="M30" s="47">
        <v>44583</v>
      </c>
      <c r="N30" s="47">
        <v>2099.9699999999998</v>
      </c>
      <c r="P30" s="49" t="s">
        <v>85</v>
      </c>
      <c r="Q30" s="56">
        <v>3779.93</v>
      </c>
    </row>
    <row r="31" spans="1:17" x14ac:dyDescent="0.3">
      <c r="A31" s="47" t="str">
        <v>TRX0201</v>
      </c>
      <c r="B31" s="47">
        <v>45627</v>
      </c>
      <c r="C31" s="47" t="str">
        <v>CUST025</v>
      </c>
      <c r="D31" s="47" t="str">
        <v>Mark Carter</v>
      </c>
      <c r="E31" s="47" t="str">
        <v>P002</v>
      </c>
      <c r="F31" s="47" t="str">
        <v>Smartphone</v>
      </c>
      <c r="G31" s="47" t="str">
        <v>Electronics</v>
      </c>
      <c r="H31" s="47">
        <v>5</v>
      </c>
      <c r="I31" s="47">
        <v>699.99</v>
      </c>
      <c r="J31" s="47" t="str">
        <v>Debit Card</v>
      </c>
      <c r="K31" s="47" t="str">
        <v>West</v>
      </c>
      <c r="L31" s="47" t="str">
        <v>Standard</v>
      </c>
      <c r="M31" s="47">
        <v>44944</v>
      </c>
      <c r="N31" s="47">
        <v>3499.95</v>
      </c>
      <c r="P31" s="49" t="s">
        <v>104</v>
      </c>
      <c r="Q31" s="56">
        <v>3769.8300000000004</v>
      </c>
    </row>
    <row r="32" spans="1:17" x14ac:dyDescent="0.3">
      <c r="A32" s="47" t="str">
        <v>TRX0028</v>
      </c>
      <c r="B32" s="47">
        <v>45644</v>
      </c>
      <c r="C32" s="47" t="str">
        <v>CUST002</v>
      </c>
      <c r="D32" s="47" t="str">
        <v>Emma Wilson</v>
      </c>
      <c r="E32" s="47" t="str">
        <v>P005</v>
      </c>
      <c r="F32" s="47" t="str">
        <v>Blender</v>
      </c>
      <c r="G32" s="47" t="str">
        <v>Appliances</v>
      </c>
      <c r="H32" s="47">
        <v>2</v>
      </c>
      <c r="I32" s="47">
        <v>59.99</v>
      </c>
      <c r="J32" s="47" t="str">
        <v>Cash</v>
      </c>
      <c r="K32" s="47" t="str">
        <v>West</v>
      </c>
      <c r="L32" s="47" t="str">
        <v>Basic</v>
      </c>
      <c r="M32" s="47">
        <v>45191</v>
      </c>
      <c r="N32" s="47">
        <v>119.98</v>
      </c>
      <c r="P32" s="49" t="s">
        <v>173</v>
      </c>
      <c r="Q32" s="56">
        <v>3669.8500000000004</v>
      </c>
    </row>
    <row r="33" spans="1:17" x14ac:dyDescent="0.3">
      <c r="A33" s="47" t="str">
        <v>TRX0164</v>
      </c>
      <c r="B33" s="47">
        <v>45648</v>
      </c>
      <c r="C33" s="47" t="str">
        <v>CUST014</v>
      </c>
      <c r="D33" s="47" t="str">
        <v>Linda Martin</v>
      </c>
      <c r="E33" s="47" t="str">
        <v>P003</v>
      </c>
      <c r="F33" s="47" t="str">
        <v>Headphones</v>
      </c>
      <c r="G33" s="47" t="str">
        <v>Electronics</v>
      </c>
      <c r="H33" s="47">
        <v>2</v>
      </c>
      <c r="I33" s="47">
        <v>149.99</v>
      </c>
      <c r="J33" s="47" t="str">
        <v>Debit Card</v>
      </c>
      <c r="K33" s="47" t="str">
        <v>West</v>
      </c>
      <c r="L33" s="47" t="str">
        <v>Premium</v>
      </c>
      <c r="M33" s="47">
        <v>45280</v>
      </c>
      <c r="N33" s="47">
        <v>299.98</v>
      </c>
      <c r="P33" s="49" t="s">
        <v>213</v>
      </c>
      <c r="Q33" s="56">
        <v>3649.8599999999997</v>
      </c>
    </row>
    <row r="34" spans="1:17" x14ac:dyDescent="0.3">
      <c r="A34" s="47" t="str">
        <v>TRX0143</v>
      </c>
      <c r="B34" s="47">
        <v>45654</v>
      </c>
      <c r="C34" s="47" t="str">
        <v>CUST003</v>
      </c>
      <c r="D34" s="47" t="str">
        <v>Michael Brown</v>
      </c>
      <c r="E34" s="47" t="str">
        <v>P007</v>
      </c>
      <c r="F34" s="47" t="str">
        <v>Desk</v>
      </c>
      <c r="G34" s="47" t="str">
        <v>Furniture</v>
      </c>
      <c r="H34" s="47">
        <v>2</v>
      </c>
      <c r="I34" s="47">
        <v>299.99</v>
      </c>
      <c r="J34" s="47" t="str">
        <v>Cash</v>
      </c>
      <c r="K34" s="47" t="str">
        <v>West</v>
      </c>
      <c r="L34" s="47" t="str">
        <v>Basic</v>
      </c>
      <c r="M34" s="47">
        <v>44771</v>
      </c>
      <c r="N34" s="47">
        <v>599.98</v>
      </c>
      <c r="P34" s="49" t="s">
        <v>61</v>
      </c>
      <c r="Q34" s="56">
        <v>3509.8999999999996</v>
      </c>
    </row>
    <row r="35" spans="1:17" x14ac:dyDescent="0.3">
      <c r="A35" s="47" t="str">
        <v>TRX0178</v>
      </c>
      <c r="B35" s="47">
        <v>45686</v>
      </c>
      <c r="C35" s="47" t="str">
        <v>CUST025</v>
      </c>
      <c r="D35" s="47" t="str">
        <v>Mark Carter</v>
      </c>
      <c r="E35" s="47" t="str">
        <v>P007</v>
      </c>
      <c r="F35" s="47" t="str">
        <v>Desk</v>
      </c>
      <c r="G35" s="47" t="str">
        <v>Furniture</v>
      </c>
      <c r="H35" s="47">
        <v>3</v>
      </c>
      <c r="I35" s="47">
        <v>299.99</v>
      </c>
      <c r="J35" s="47" t="str">
        <v>Debit Card</v>
      </c>
      <c r="K35" s="47" t="str">
        <v>West</v>
      </c>
      <c r="L35" s="47" t="str">
        <v>Standard</v>
      </c>
      <c r="M35" s="47">
        <v>44952</v>
      </c>
      <c r="N35" s="47">
        <v>899.97</v>
      </c>
      <c r="P35" s="49" t="s">
        <v>31</v>
      </c>
      <c r="Q35" s="56">
        <v>3259.87</v>
      </c>
    </row>
    <row r="36" spans="1:17" x14ac:dyDescent="0.3">
      <c r="A36" s="47" t="str">
        <v>TRX0010</v>
      </c>
      <c r="B36" s="47">
        <v>45688</v>
      </c>
      <c r="C36" s="47" t="str">
        <v>CUST026</v>
      </c>
      <c r="D36" s="47" t="str">
        <v>Karen Hill</v>
      </c>
      <c r="E36" s="47" t="str">
        <v>P002</v>
      </c>
      <c r="F36" s="47" t="str">
        <v>Smartphone</v>
      </c>
      <c r="G36" s="47" t="str">
        <v>Electronics</v>
      </c>
      <c r="H36" s="47">
        <v>4</v>
      </c>
      <c r="I36" s="47">
        <v>699.99</v>
      </c>
      <c r="J36" s="47" t="str">
        <v>Debit Card</v>
      </c>
      <c r="K36" s="47" t="str">
        <v>West</v>
      </c>
      <c r="L36" s="47" t="str">
        <v>Premium</v>
      </c>
      <c r="M36" s="47">
        <v>44692</v>
      </c>
      <c r="N36" s="47">
        <v>2799.96</v>
      </c>
      <c r="P36" s="49" t="s">
        <v>140</v>
      </c>
      <c r="Q36" s="56">
        <v>2649.83</v>
      </c>
    </row>
    <row r="37" spans="1:17" x14ac:dyDescent="0.3">
      <c r="A37" s="47" t="str">
        <v>TRX0221</v>
      </c>
      <c r="B37" s="47">
        <v>45708</v>
      </c>
      <c r="C37" s="47" t="str">
        <v>CUST033</v>
      </c>
      <c r="D37" s="47" t="str">
        <v>Frank Torres</v>
      </c>
      <c r="E37" s="47" t="str">
        <v>P006</v>
      </c>
      <c r="F37" s="47" t="str">
        <v>Office Chair</v>
      </c>
      <c r="G37" s="47" t="str">
        <v>Furniture</v>
      </c>
      <c r="H37" s="47">
        <v>3</v>
      </c>
      <c r="I37" s="47">
        <v>199.99</v>
      </c>
      <c r="J37" s="47" t="str">
        <v>Cash</v>
      </c>
      <c r="K37" s="47" t="str">
        <v>West</v>
      </c>
      <c r="L37" s="47" t="str">
        <v>Premium</v>
      </c>
      <c r="M37" s="47">
        <v>44823</v>
      </c>
      <c r="N37" s="47">
        <v>599.97</v>
      </c>
      <c r="P37" s="49" t="s">
        <v>187</v>
      </c>
      <c r="Q37" s="56">
        <v>2099.88</v>
      </c>
    </row>
    <row r="38" spans="1:17" x14ac:dyDescent="0.3">
      <c r="A38" s="47" t="str">
        <v>TRX0083</v>
      </c>
      <c r="B38" s="47">
        <v>45710</v>
      </c>
      <c r="C38" s="47" t="str">
        <v>CUST017</v>
      </c>
      <c r="D38" s="47" t="str">
        <v>Charles Allen</v>
      </c>
      <c r="E38" s="47" t="str">
        <v>P007</v>
      </c>
      <c r="F38" s="47" t="str">
        <v>Desk</v>
      </c>
      <c r="G38" s="47" t="str">
        <v>Furniture</v>
      </c>
      <c r="H38" s="47">
        <v>5</v>
      </c>
      <c r="I38" s="47">
        <v>299.99</v>
      </c>
      <c r="J38" s="47" t="str">
        <v>Cash</v>
      </c>
      <c r="K38" s="47" t="str">
        <v>West</v>
      </c>
      <c r="L38" s="47" t="str">
        <v>Standard</v>
      </c>
      <c r="M38" s="47">
        <v>45142</v>
      </c>
      <c r="N38" s="47">
        <v>1499.95</v>
      </c>
      <c r="P38" s="49" t="s">
        <v>131</v>
      </c>
      <c r="Q38" s="56">
        <v>2039.8000000000002</v>
      </c>
    </row>
    <row r="39" spans="1:17" x14ac:dyDescent="0.3">
      <c r="A39" s="47" t="str">
        <v>TRX0151</v>
      </c>
      <c r="B39" s="47">
        <v>45710</v>
      </c>
      <c r="C39" s="47" t="str">
        <v>CUST040</v>
      </c>
      <c r="D39" s="47" t="str">
        <v>Sharon Butler</v>
      </c>
      <c r="E39" s="47" t="str">
        <v>P002</v>
      </c>
      <c r="F39" s="47" t="str">
        <v>Smartphone</v>
      </c>
      <c r="G39" s="47" t="str">
        <v>Electronics</v>
      </c>
      <c r="H39" s="47">
        <v>1</v>
      </c>
      <c r="I39" s="47">
        <v>699.99</v>
      </c>
      <c r="J39" s="47" t="str">
        <v>PayPal</v>
      </c>
      <c r="K39" s="47" t="str">
        <v>West</v>
      </c>
      <c r="L39" s="47" t="str">
        <v>Basic</v>
      </c>
      <c r="M39" s="47">
        <v>44934</v>
      </c>
      <c r="N39" s="47">
        <v>699.99</v>
      </c>
      <c r="P39" s="49" t="s">
        <v>70</v>
      </c>
      <c r="Q39" s="56">
        <v>1979.89</v>
      </c>
    </row>
    <row r="40" spans="1:17" x14ac:dyDescent="0.3">
      <c r="A40" s="47" t="str">
        <v>TRX0062</v>
      </c>
      <c r="B40" s="47">
        <v>45711</v>
      </c>
      <c r="C40" s="47" t="str">
        <v>CUST016</v>
      </c>
      <c r="D40" s="47" t="str">
        <v>Elizabeth Hall</v>
      </c>
      <c r="E40" s="47" t="str">
        <v>P010</v>
      </c>
      <c r="F40" s="47" t="str">
        <v>Keyboard</v>
      </c>
      <c r="G40" s="47" t="str">
        <v>Electronics</v>
      </c>
      <c r="H40" s="47">
        <v>5</v>
      </c>
      <c r="I40" s="47">
        <v>89.99</v>
      </c>
      <c r="J40" s="47" t="str">
        <v>PayPal</v>
      </c>
      <c r="K40" s="47" t="str">
        <v>West</v>
      </c>
      <c r="L40" s="47" t="str">
        <v>Premium</v>
      </c>
      <c r="M40" s="47">
        <v>45140</v>
      </c>
      <c r="N40" s="47">
        <v>449.95</v>
      </c>
      <c r="P40" s="49" t="s">
        <v>91</v>
      </c>
      <c r="Q40" s="56">
        <v>1909.93</v>
      </c>
    </row>
    <row r="41" spans="1:17" x14ac:dyDescent="0.3">
      <c r="A41" s="47" t="str">
        <v>TRX0229</v>
      </c>
      <c r="B41" s="47">
        <v>45715</v>
      </c>
      <c r="C41" s="47" t="str">
        <v>CUST015</v>
      </c>
      <c r="D41" s="47" t="str">
        <v>Richard Lee</v>
      </c>
      <c r="E41" s="47" t="str">
        <v>P005</v>
      </c>
      <c r="F41" s="47" t="str">
        <v>Blender</v>
      </c>
      <c r="G41" s="47" t="str">
        <v>Appliances</v>
      </c>
      <c r="H41" s="47">
        <v>4</v>
      </c>
      <c r="I41" s="47">
        <v>59.99</v>
      </c>
      <c r="J41" s="47" t="str">
        <v>Cash</v>
      </c>
      <c r="K41" s="47" t="str">
        <v>West</v>
      </c>
      <c r="L41" s="47" t="str">
        <v>Standard</v>
      </c>
      <c r="M41" s="47">
        <v>45070</v>
      </c>
      <c r="N41" s="47">
        <v>239.96</v>
      </c>
      <c r="P41" s="49" t="s">
        <v>184</v>
      </c>
      <c r="Q41" s="56">
        <v>1809.84</v>
      </c>
    </row>
    <row r="42" spans="1:17" x14ac:dyDescent="0.3">
      <c r="A42" s="47" t="str">
        <v>TRX0053</v>
      </c>
      <c r="B42" s="47">
        <v>45721</v>
      </c>
      <c r="C42" s="47" t="str">
        <v>CUST043</v>
      </c>
      <c r="D42" s="47" t="str">
        <v>Dennis Gray</v>
      </c>
      <c r="E42" s="47" t="str">
        <v>P005</v>
      </c>
      <c r="F42" s="47" t="str">
        <v>Blender</v>
      </c>
      <c r="G42" s="47" t="str">
        <v>Appliances</v>
      </c>
      <c r="H42" s="47">
        <v>5</v>
      </c>
      <c r="I42" s="47">
        <v>59.99</v>
      </c>
      <c r="J42" s="47" t="str">
        <v>Cash</v>
      </c>
      <c r="K42" s="47" t="str">
        <v>West</v>
      </c>
      <c r="L42" s="47" t="str">
        <v>Premium</v>
      </c>
      <c r="M42" s="47">
        <v>45291</v>
      </c>
      <c r="N42" s="47">
        <v>299.95</v>
      </c>
      <c r="P42" s="49" t="s">
        <v>248</v>
      </c>
      <c r="Q42" s="56">
        <v>1749.92</v>
      </c>
    </row>
    <row r="43" spans="1:17" x14ac:dyDescent="0.3">
      <c r="A43" s="47" t="str">
        <v>TRX0233</v>
      </c>
      <c r="B43" s="47">
        <v>45723</v>
      </c>
      <c r="C43" s="47" t="str">
        <v>CUST023</v>
      </c>
      <c r="D43" s="47" t="str">
        <v>Paul Baker</v>
      </c>
      <c r="E43" s="47" t="str">
        <v>P010</v>
      </c>
      <c r="F43" s="47" t="str">
        <v>Keyboard</v>
      </c>
      <c r="G43" s="47" t="str">
        <v>Electronics</v>
      </c>
      <c r="H43" s="47">
        <v>2</v>
      </c>
      <c r="I43" s="47">
        <v>89.99</v>
      </c>
      <c r="J43" s="47" t="str">
        <v>Credit Card</v>
      </c>
      <c r="K43" s="47" t="str">
        <v>West</v>
      </c>
      <c r="L43" s="47" t="str">
        <v>Premium</v>
      </c>
      <c r="M43" s="47">
        <v>45295</v>
      </c>
      <c r="N43" s="47">
        <v>179.98</v>
      </c>
      <c r="P43" s="49" t="s">
        <v>327</v>
      </c>
      <c r="Q43" s="56">
        <v>1559.94</v>
      </c>
    </row>
    <row r="44" spans="1:17" x14ac:dyDescent="0.3">
      <c r="A44" s="47" t="str">
        <v>TRX0014</v>
      </c>
      <c r="B44" s="47">
        <v>45734</v>
      </c>
      <c r="C44" s="47" t="str">
        <v>CUST033</v>
      </c>
      <c r="D44" s="47" t="str">
        <v>Frank Torres</v>
      </c>
      <c r="E44" s="47" t="str">
        <v>P005</v>
      </c>
      <c r="F44" s="47" t="str">
        <v>Blender</v>
      </c>
      <c r="G44" s="47" t="str">
        <v>Appliances</v>
      </c>
      <c r="H44" s="47">
        <v>2</v>
      </c>
      <c r="I44" s="47">
        <v>59.99</v>
      </c>
      <c r="J44" s="47" t="str">
        <v>Credit Card</v>
      </c>
      <c r="K44" s="47" t="str">
        <v>West</v>
      </c>
      <c r="L44" s="47" t="str">
        <v>Basic</v>
      </c>
      <c r="M44" s="47">
        <v>45193</v>
      </c>
      <c r="N44" s="47">
        <v>119.98</v>
      </c>
      <c r="P44" s="49" t="s">
        <v>194</v>
      </c>
      <c r="Q44" s="56">
        <v>1479.91</v>
      </c>
    </row>
    <row r="45" spans="1:17" x14ac:dyDescent="0.3">
      <c r="A45" s="47" t="str">
        <v>TRX0003</v>
      </c>
      <c r="B45" s="47">
        <v>45737</v>
      </c>
      <c r="C45" s="47" t="str">
        <v>CUST002</v>
      </c>
      <c r="D45" s="47" t="str">
        <v>Emma Wilson</v>
      </c>
      <c r="E45" s="47" t="str">
        <v>P008</v>
      </c>
      <c r="F45" s="47" t="str">
        <v>Bookshelf</v>
      </c>
      <c r="G45" s="47" t="str">
        <v>Furniture</v>
      </c>
      <c r="H45" s="47">
        <v>2</v>
      </c>
      <c r="I45" s="47">
        <v>149.99</v>
      </c>
      <c r="J45" s="47" t="str">
        <v>Cash</v>
      </c>
      <c r="K45" s="47" t="str">
        <v>West</v>
      </c>
      <c r="L45" s="47" t="str">
        <v>Premium</v>
      </c>
      <c r="M45" s="47">
        <v>45233</v>
      </c>
      <c r="N45" s="47">
        <v>299.98</v>
      </c>
      <c r="P45" s="49" t="s">
        <v>114</v>
      </c>
      <c r="Q45" s="56">
        <v>1289.9000000000001</v>
      </c>
    </row>
    <row r="46" spans="1:17" x14ac:dyDescent="0.3">
      <c r="A46" s="47" t="str">
        <v>TRX0019</v>
      </c>
      <c r="B46" s="47">
        <v>45739</v>
      </c>
      <c r="C46" s="47" t="str">
        <v>CUST023</v>
      </c>
      <c r="D46" s="47" t="str">
        <v>Paul Baker</v>
      </c>
      <c r="E46" s="47" t="str">
        <v>P007</v>
      </c>
      <c r="F46" s="47" t="str">
        <v>Desk</v>
      </c>
      <c r="G46" s="47" t="str">
        <v>Furniture</v>
      </c>
      <c r="H46" s="47">
        <v>3</v>
      </c>
      <c r="I46" s="47">
        <v>299.99</v>
      </c>
      <c r="J46" s="47" t="str">
        <v>Credit Card</v>
      </c>
      <c r="K46" s="47" t="str">
        <v>West</v>
      </c>
      <c r="L46" s="47" t="str">
        <v>Premium</v>
      </c>
      <c r="M46" s="47">
        <v>45234</v>
      </c>
      <c r="N46" s="47">
        <v>899.97</v>
      </c>
      <c r="P46" s="49" t="s">
        <v>134</v>
      </c>
      <c r="Q46" s="56">
        <v>1229.8800000000001</v>
      </c>
    </row>
    <row r="47" spans="1:17" x14ac:dyDescent="0.3">
      <c r="A47" s="47" t="str">
        <v>TRX0050</v>
      </c>
      <c r="B47" s="47">
        <v>45740</v>
      </c>
      <c r="C47" s="47" t="str">
        <v>CUST001</v>
      </c>
      <c r="D47" s="47" t="str">
        <v>John Smith</v>
      </c>
      <c r="E47" s="47" t="str">
        <v>P008</v>
      </c>
      <c r="F47" s="47" t="str">
        <v>Bookshelf</v>
      </c>
      <c r="G47" s="47" t="str">
        <v>Furniture</v>
      </c>
      <c r="H47" s="47">
        <v>4</v>
      </c>
      <c r="I47" s="47">
        <v>149.99</v>
      </c>
      <c r="J47" s="47" t="str">
        <v>PayPal</v>
      </c>
      <c r="K47" s="47" t="str">
        <v>West</v>
      </c>
      <c r="L47" s="47" t="str">
        <v>Standard</v>
      </c>
      <c r="M47" s="47">
        <v>44560</v>
      </c>
      <c r="N47" s="47">
        <v>599.96</v>
      </c>
      <c r="P47" s="49" t="s">
        <v>233</v>
      </c>
      <c r="Q47" s="56">
        <v>1149.93</v>
      </c>
    </row>
    <row r="48" spans="1:17" x14ac:dyDescent="0.3">
      <c r="A48" s="47" t="str">
        <v>TRX0250</v>
      </c>
      <c r="B48" s="47">
        <v>45746</v>
      </c>
      <c r="C48" s="47" t="str">
        <v>CUST026</v>
      </c>
      <c r="D48" s="47" t="str">
        <v>Karen Hill</v>
      </c>
      <c r="E48" s="47" t="str">
        <v>P010</v>
      </c>
      <c r="F48" s="47" t="str">
        <v>Keyboard</v>
      </c>
      <c r="G48" s="47" t="str">
        <v>Electronics</v>
      </c>
      <c r="H48" s="47">
        <v>2</v>
      </c>
      <c r="I48" s="47">
        <v>89.99</v>
      </c>
      <c r="J48" s="47" t="str">
        <v>Debit Card</v>
      </c>
      <c r="K48" s="47" t="str">
        <v>West</v>
      </c>
      <c r="L48" s="47" t="str">
        <v>Premium</v>
      </c>
      <c r="M48" s="47">
        <v>44522</v>
      </c>
      <c r="N48" s="47">
        <v>179.98</v>
      </c>
      <c r="P48" s="49" t="s">
        <v>261</v>
      </c>
      <c r="Q48" s="56">
        <v>739.93000000000006</v>
      </c>
    </row>
    <row r="49" spans="16:17" x14ac:dyDescent="0.3">
      <c r="P49" s="49" t="s">
        <v>388</v>
      </c>
      <c r="Q49" s="56">
        <v>599.96</v>
      </c>
    </row>
    <row r="50" spans="16:17" x14ac:dyDescent="0.3">
      <c r="P50" s="49" t="s">
        <v>77</v>
      </c>
      <c r="Q50" s="56">
        <v>479.91999999999996</v>
      </c>
    </row>
    <row r="51" spans="16:17" x14ac:dyDescent="0.3">
      <c r="P51" s="49" t="s">
        <v>164</v>
      </c>
      <c r="Q51" s="56">
        <v>239.96</v>
      </c>
    </row>
    <row r="52" spans="16:17" x14ac:dyDescent="0.3">
      <c r="P52" s="49" t="s">
        <v>306</v>
      </c>
      <c r="Q52" s="56">
        <v>179.97</v>
      </c>
    </row>
    <row r="53" spans="16:17" x14ac:dyDescent="0.3">
      <c r="P53" s="49" t="s">
        <v>427</v>
      </c>
      <c r="Q53" s="56">
        <v>229192.46999999997</v>
      </c>
    </row>
  </sheetData>
  <mergeCells count="4">
    <mergeCell ref="A1:N1"/>
    <mergeCell ref="P1:Q1"/>
    <mergeCell ref="R1:S1"/>
    <mergeCell ref="T1:V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6491D-75BE-4766-A8A8-1F67F28D1FFC}">
  <sheetPr>
    <outlinePr summaryBelow="0"/>
  </sheetPr>
  <dimension ref="B1:G12"/>
  <sheetViews>
    <sheetView showGridLines="0" workbookViewId="0"/>
  </sheetViews>
  <sheetFormatPr defaultRowHeight="14.4" outlineLevelRow="1" outlineLevelCol="1" x14ac:dyDescent="0.3"/>
  <cols>
    <col min="3" max="3" width="5.77734375" bestFit="1" customWidth="1"/>
    <col min="4" max="7" width="13.109375" bestFit="1" customWidth="1" outlineLevel="1"/>
  </cols>
  <sheetData>
    <row r="1" spans="2:7" ht="15" thickBot="1" x14ac:dyDescent="0.35"/>
    <row r="2" spans="2:7" ht="15.6" x14ac:dyDescent="0.3">
      <c r="B2" s="26" t="s">
        <v>475</v>
      </c>
      <c r="C2" s="26"/>
      <c r="D2" s="31"/>
      <c r="E2" s="31"/>
      <c r="F2" s="31"/>
      <c r="G2" s="31"/>
    </row>
    <row r="3" spans="2:7" ht="15.6" collapsed="1" x14ac:dyDescent="0.3">
      <c r="B3" s="25"/>
      <c r="C3" s="25"/>
      <c r="D3" s="32" t="s">
        <v>477</v>
      </c>
      <c r="E3" s="32" t="s">
        <v>471</v>
      </c>
      <c r="F3" s="32" t="s">
        <v>473</v>
      </c>
      <c r="G3" s="32" t="s">
        <v>474</v>
      </c>
    </row>
    <row r="4" spans="2:7" ht="30.6" hidden="1" outlineLevel="1" x14ac:dyDescent="0.3">
      <c r="B4" s="28"/>
      <c r="C4" s="28"/>
      <c r="E4" s="34" t="s">
        <v>472</v>
      </c>
      <c r="F4" s="34" t="s">
        <v>472</v>
      </c>
      <c r="G4" s="34" t="s">
        <v>472</v>
      </c>
    </row>
    <row r="5" spans="2:7" x14ac:dyDescent="0.3">
      <c r="B5" s="29" t="s">
        <v>476</v>
      </c>
      <c r="C5" s="29"/>
      <c r="D5" s="27"/>
      <c r="E5" s="27"/>
      <c r="F5" s="27"/>
      <c r="G5" s="27"/>
    </row>
    <row r="6" spans="2:7" outlineLevel="1" x14ac:dyDescent="0.3">
      <c r="B6" s="28"/>
      <c r="C6" s="28" t="s">
        <v>468</v>
      </c>
      <c r="D6">
        <v>4</v>
      </c>
      <c r="E6" s="33">
        <v>50</v>
      </c>
      <c r="F6" s="33">
        <v>30</v>
      </c>
      <c r="G6" s="33">
        <v>10</v>
      </c>
    </row>
    <row r="7" spans="2:7" outlineLevel="1" x14ac:dyDescent="0.3">
      <c r="B7" s="28"/>
      <c r="C7" s="28" t="s">
        <v>469</v>
      </c>
      <c r="D7">
        <v>350</v>
      </c>
      <c r="E7" s="33">
        <v>400</v>
      </c>
      <c r="F7" s="33">
        <v>350</v>
      </c>
      <c r="G7" s="33">
        <v>200</v>
      </c>
    </row>
    <row r="8" spans="2:7" x14ac:dyDescent="0.3">
      <c r="B8" s="29" t="s">
        <v>478</v>
      </c>
      <c r="C8" s="29"/>
      <c r="D8" s="27"/>
      <c r="E8" s="27"/>
      <c r="F8" s="27"/>
      <c r="G8" s="27"/>
    </row>
    <row r="9" spans="2:7" ht="15" outlineLevel="1" thickBot="1" x14ac:dyDescent="0.35">
      <c r="B9" s="30"/>
      <c r="C9" s="30" t="s">
        <v>470</v>
      </c>
      <c r="D9" s="5">
        <v>1400</v>
      </c>
      <c r="E9" s="5">
        <v>20000</v>
      </c>
      <c r="F9" s="5">
        <v>10500</v>
      </c>
      <c r="G9" s="5">
        <v>2000</v>
      </c>
    </row>
    <row r="10" spans="2:7" x14ac:dyDescent="0.3">
      <c r="B10" t="s">
        <v>479</v>
      </c>
    </row>
    <row r="11" spans="2:7" x14ac:dyDescent="0.3">
      <c r="B11" t="s">
        <v>480</v>
      </c>
    </row>
    <row r="12" spans="2:7" x14ac:dyDescent="0.3">
      <c r="B12" t="s">
        <v>481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F0C63-2187-4063-9AF8-9987B31BF46A}">
  <dimension ref="A2:K46"/>
  <sheetViews>
    <sheetView zoomScale="84" zoomScaleNormal="95" workbookViewId="0">
      <selection activeCell="K23" sqref="K23"/>
    </sheetView>
  </sheetViews>
  <sheetFormatPr defaultRowHeight="14.4" x14ac:dyDescent="0.3"/>
  <cols>
    <col min="1" max="1" width="12.6640625" bestFit="1" customWidth="1"/>
    <col min="2" max="2" width="19.77734375" bestFit="1" customWidth="1"/>
    <col min="3" max="4" width="12.5546875" bestFit="1" customWidth="1"/>
    <col min="5" max="5" width="19.77734375" bestFit="1" customWidth="1"/>
    <col min="10" max="10" width="12.6640625" bestFit="1" customWidth="1"/>
    <col min="11" max="11" width="16.21875" bestFit="1" customWidth="1"/>
  </cols>
  <sheetData>
    <row r="2" spans="1:11" x14ac:dyDescent="0.3">
      <c r="J2" s="8" t="s">
        <v>435</v>
      </c>
      <c r="K2" t="s">
        <v>428</v>
      </c>
    </row>
    <row r="3" spans="1:11" x14ac:dyDescent="0.3">
      <c r="A3" s="8" t="s">
        <v>435</v>
      </c>
      <c r="B3" t="s">
        <v>428</v>
      </c>
      <c r="J3" s="9" t="s">
        <v>451</v>
      </c>
      <c r="K3" s="54">
        <v>160444.72999999998</v>
      </c>
    </row>
    <row r="4" spans="1:11" x14ac:dyDescent="0.3">
      <c r="A4" s="9" t="s">
        <v>64</v>
      </c>
      <c r="B4" s="54">
        <v>59288.389999999992</v>
      </c>
      <c r="J4" s="24" t="s">
        <v>453</v>
      </c>
      <c r="K4" s="54">
        <v>20919.330000000002</v>
      </c>
    </row>
    <row r="5" spans="1:11" x14ac:dyDescent="0.3">
      <c r="A5" s="9" t="s">
        <v>41</v>
      </c>
      <c r="B5" s="54">
        <v>50808.310000000012</v>
      </c>
      <c r="J5" s="24" t="s">
        <v>454</v>
      </c>
      <c r="K5" s="54">
        <v>17039.349999999999</v>
      </c>
    </row>
    <row r="6" spans="1:11" x14ac:dyDescent="0.3">
      <c r="A6" s="9" t="s">
        <v>51</v>
      </c>
      <c r="B6" s="54">
        <v>41408.680000000015</v>
      </c>
      <c r="J6" s="24" t="s">
        <v>455</v>
      </c>
      <c r="K6" s="54">
        <v>19299.45</v>
      </c>
    </row>
    <row r="7" spans="1:11" x14ac:dyDescent="0.3">
      <c r="A7" s="9" t="s">
        <v>22</v>
      </c>
      <c r="B7" s="54">
        <v>41288.340000000018</v>
      </c>
      <c r="J7" s="24" t="s">
        <v>456</v>
      </c>
      <c r="K7" s="54">
        <v>18479.399999999994</v>
      </c>
    </row>
    <row r="8" spans="1:11" x14ac:dyDescent="0.3">
      <c r="A8" s="9" t="s">
        <v>36</v>
      </c>
      <c r="B8" s="54">
        <v>36398.750000000007</v>
      </c>
      <c r="J8" s="24" t="s">
        <v>457</v>
      </c>
      <c r="K8" s="54">
        <v>15759.429999999997</v>
      </c>
    </row>
    <row r="9" spans="1:11" x14ac:dyDescent="0.3">
      <c r="A9" s="9" t="s">
        <v>427</v>
      </c>
      <c r="B9" s="54">
        <v>229192.47000000006</v>
      </c>
      <c r="J9" s="24" t="s">
        <v>458</v>
      </c>
      <c r="K9" s="54">
        <v>12989.509999999997</v>
      </c>
    </row>
    <row r="10" spans="1:11" x14ac:dyDescent="0.3">
      <c r="J10" s="24" t="s">
        <v>459</v>
      </c>
      <c r="K10" s="54">
        <v>20609.52</v>
      </c>
    </row>
    <row r="11" spans="1:11" x14ac:dyDescent="0.3">
      <c r="J11" s="24" t="s">
        <v>460</v>
      </c>
      <c r="K11" s="54">
        <v>12309.439999999999</v>
      </c>
    </row>
    <row r="12" spans="1:11" x14ac:dyDescent="0.3">
      <c r="J12" s="24" t="s">
        <v>461</v>
      </c>
      <c r="K12" s="54">
        <v>23039.3</v>
      </c>
    </row>
    <row r="13" spans="1:11" x14ac:dyDescent="0.3">
      <c r="J13" s="9" t="s">
        <v>452</v>
      </c>
      <c r="K13" s="54">
        <v>68747.739999999991</v>
      </c>
    </row>
    <row r="14" spans="1:11" x14ac:dyDescent="0.3">
      <c r="J14" s="24" t="s">
        <v>462</v>
      </c>
      <c r="K14" s="54">
        <v>25799.15</v>
      </c>
    </row>
    <row r="15" spans="1:11" x14ac:dyDescent="0.3">
      <c r="J15" s="24" t="s">
        <v>463</v>
      </c>
      <c r="K15" s="54">
        <v>16069.379999999997</v>
      </c>
    </row>
    <row r="16" spans="1:11" x14ac:dyDescent="0.3">
      <c r="J16" s="24" t="s">
        <v>464</v>
      </c>
      <c r="K16" s="54">
        <v>19899.379999999997</v>
      </c>
    </row>
    <row r="17" spans="1:11" x14ac:dyDescent="0.3">
      <c r="J17" s="24" t="s">
        <v>453</v>
      </c>
      <c r="K17" s="54">
        <v>6979.829999999999</v>
      </c>
    </row>
    <row r="18" spans="1:11" x14ac:dyDescent="0.3">
      <c r="J18" s="9" t="s">
        <v>427</v>
      </c>
      <c r="K18" s="54">
        <v>229192.46999999997</v>
      </c>
    </row>
    <row r="22" spans="1:11" x14ac:dyDescent="0.3">
      <c r="J22" s="8" t="s">
        <v>435</v>
      </c>
      <c r="K22" t="s">
        <v>436</v>
      </c>
    </row>
    <row r="23" spans="1:11" x14ac:dyDescent="0.3">
      <c r="A23" s="8" t="s">
        <v>435</v>
      </c>
      <c r="B23" t="s">
        <v>428</v>
      </c>
      <c r="J23" s="9" t="s">
        <v>46</v>
      </c>
      <c r="K23" s="54">
        <v>35</v>
      </c>
    </row>
    <row r="24" spans="1:11" x14ac:dyDescent="0.3">
      <c r="A24" s="9" t="s">
        <v>34</v>
      </c>
      <c r="B24">
        <v>8338.7399999999961</v>
      </c>
      <c r="J24" s="9" t="s">
        <v>119</v>
      </c>
      <c r="K24" s="54">
        <v>34</v>
      </c>
    </row>
    <row r="25" spans="1:11" x14ac:dyDescent="0.3">
      <c r="A25" s="9" t="s">
        <v>20</v>
      </c>
      <c r="B25">
        <v>171756.05000000013</v>
      </c>
      <c r="J25" s="9" t="s">
        <v>82</v>
      </c>
      <c r="K25" s="54">
        <v>31</v>
      </c>
    </row>
    <row r="26" spans="1:11" x14ac:dyDescent="0.3">
      <c r="A26" s="9" t="s">
        <v>47</v>
      </c>
      <c r="B26">
        <v>49097.680000000015</v>
      </c>
      <c r="J26" s="9" t="s">
        <v>33</v>
      </c>
      <c r="K26" s="54">
        <v>29</v>
      </c>
    </row>
    <row r="27" spans="1:11" x14ac:dyDescent="0.3">
      <c r="A27" s="9" t="s">
        <v>427</v>
      </c>
      <c r="B27">
        <v>229192.47000000015</v>
      </c>
      <c r="J27" s="9" t="s">
        <v>107</v>
      </c>
      <c r="K27" s="54">
        <v>26</v>
      </c>
    </row>
    <row r="28" spans="1:11" x14ac:dyDescent="0.3">
      <c r="J28" s="9" t="s">
        <v>19</v>
      </c>
      <c r="K28" s="54">
        <v>26</v>
      </c>
    </row>
    <row r="29" spans="1:11" x14ac:dyDescent="0.3">
      <c r="J29" s="9" t="s">
        <v>63</v>
      </c>
      <c r="K29" s="54">
        <v>24</v>
      </c>
    </row>
    <row r="30" spans="1:11" x14ac:dyDescent="0.3">
      <c r="J30" s="9" t="s">
        <v>54</v>
      </c>
      <c r="K30" s="54">
        <v>16</v>
      </c>
    </row>
    <row r="31" spans="1:11" x14ac:dyDescent="0.3">
      <c r="J31" s="9" t="s">
        <v>128</v>
      </c>
      <c r="K31" s="54">
        <v>15</v>
      </c>
    </row>
    <row r="32" spans="1:11" x14ac:dyDescent="0.3">
      <c r="J32" s="9" t="s">
        <v>116</v>
      </c>
      <c r="K32" s="54">
        <v>14</v>
      </c>
    </row>
    <row r="33" spans="1:11" x14ac:dyDescent="0.3">
      <c r="A33" s="22"/>
      <c r="B33" s="22"/>
      <c r="J33" s="9" t="s">
        <v>427</v>
      </c>
      <c r="K33" s="54">
        <v>250</v>
      </c>
    </row>
    <row r="46" spans="1:11" x14ac:dyDescent="0.3">
      <c r="A46" s="22"/>
      <c r="B46" s="23"/>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Project Instructions</vt:lpstr>
      <vt:lpstr>Dashboard</vt:lpstr>
      <vt:lpstr>Final Project Dataset</vt:lpstr>
      <vt:lpstr>Linear Regression</vt:lpstr>
      <vt:lpstr>analysis</vt:lpstr>
      <vt:lpstr>Scenario Summary</vt:lpstr>
      <vt:lpstr>Visaulization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Disha Chaudhari</cp:lastModifiedBy>
  <dcterms:modified xsi:type="dcterms:W3CDTF">2026-05-30T11:17:23Z</dcterms:modified>
</cp:coreProperties>
</file>